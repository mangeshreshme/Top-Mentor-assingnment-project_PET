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exel_assingment\"/>
    </mc:Choice>
  </mc:AlternateContent>
  <xr:revisionPtr revIDLastSave="0" documentId="13_ncr:1_{2709B1ED-BB65-4043-BC78-67C739982EC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olutions" sheetId="2" r:id="rId2"/>
  </sheets>
  <definedNames>
    <definedName name="_xlnm._FilterDatabase" localSheetId="0" hidden="1">Sheet1!$A$1:$N$1486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/>
  <c r="E5" i="1" a="1"/>
  <c r="E5" i="1" s="1"/>
  <c r="E6" i="1" a="1"/>
  <c r="E6" i="1"/>
  <c r="E7" i="1" a="1"/>
  <c r="E7" i="1" s="1"/>
  <c r="E8" i="1" a="1"/>
  <c r="E8" i="1"/>
  <c r="E9" i="1" a="1"/>
  <c r="E9" i="1" s="1"/>
  <c r="E10" i="1" a="1"/>
  <c r="E10" i="1"/>
  <c r="E11" i="1" a="1"/>
  <c r="E11" i="1" s="1"/>
  <c r="E12" i="1" a="1"/>
  <c r="E12" i="1" s="1"/>
  <c r="E13" i="1" a="1"/>
  <c r="E13" i="1" s="1"/>
  <c r="E14" i="1" a="1"/>
  <c r="E14" i="1"/>
  <c r="E15" i="1" a="1"/>
  <c r="E15" i="1" s="1"/>
  <c r="E16" i="1" a="1"/>
  <c r="E16" i="1" s="1"/>
  <c r="E17" i="1" a="1"/>
  <c r="E17" i="1" s="1"/>
  <c r="E18" i="1" a="1"/>
  <c r="E18" i="1"/>
  <c r="E19" i="1" a="1"/>
  <c r="E19" i="1" s="1"/>
  <c r="E20" i="1" a="1"/>
  <c r="E20" i="1" s="1"/>
  <c r="E21" i="1" a="1"/>
  <c r="E21" i="1" s="1"/>
  <c r="E22" i="1" a="1"/>
  <c r="E22" i="1"/>
  <c r="E23" i="1" a="1"/>
  <c r="E23" i="1" s="1"/>
  <c r="E24" i="1" a="1"/>
  <c r="E24" i="1" s="1"/>
  <c r="E25" i="1" a="1"/>
  <c r="E25" i="1" s="1"/>
  <c r="E26" i="1" a="1"/>
  <c r="E26" i="1"/>
  <c r="E27" i="1" a="1"/>
  <c r="E27" i="1" s="1"/>
  <c r="E28" i="1" a="1"/>
  <c r="E28" i="1" s="1"/>
  <c r="E29" i="1" a="1"/>
  <c r="E29" i="1" s="1"/>
  <c r="E30" i="1" a="1"/>
  <c r="E30" i="1"/>
  <c r="E31" i="1" a="1"/>
  <c r="E31" i="1" s="1"/>
  <c r="E32" i="1" a="1"/>
  <c r="E32" i="1" s="1"/>
  <c r="E33" i="1" a="1"/>
  <c r="E33" i="1" s="1"/>
  <c r="E34" i="1" a="1"/>
  <c r="E34" i="1"/>
  <c r="E35" i="1" a="1"/>
  <c r="E35" i="1" s="1"/>
  <c r="E36" i="1" a="1"/>
  <c r="E36" i="1" s="1"/>
  <c r="E37" i="1" a="1"/>
  <c r="E37" i="1" s="1"/>
  <c r="E38" i="1" a="1"/>
  <c r="E38" i="1"/>
  <c r="E39" i="1" a="1"/>
  <c r="E39" i="1" s="1"/>
  <c r="E40" i="1" a="1"/>
  <c r="E40" i="1" s="1"/>
  <c r="E41" i="1" a="1"/>
  <c r="E41" i="1" s="1"/>
  <c r="E42" i="1" a="1"/>
  <c r="E42" i="1"/>
  <c r="E43" i="1" a="1"/>
  <c r="E43" i="1" s="1"/>
  <c r="E44" i="1" a="1"/>
  <c r="E44" i="1" s="1"/>
  <c r="E45" i="1" a="1"/>
  <c r="E45" i="1" s="1"/>
  <c r="E46" i="1" a="1"/>
  <c r="E46" i="1"/>
  <c r="E47" i="1" a="1"/>
  <c r="E47" i="1" s="1"/>
  <c r="E48" i="1" a="1"/>
  <c r="E48" i="1" s="1"/>
  <c r="E49" i="1" a="1"/>
  <c r="E49" i="1" s="1"/>
  <c r="E50" i="1" a="1"/>
  <c r="E50" i="1"/>
  <c r="E51" i="1" a="1"/>
  <c r="E51" i="1" s="1"/>
  <c r="E52" i="1" a="1"/>
  <c r="E52" i="1" s="1"/>
  <c r="E53" i="1" a="1"/>
  <c r="E53" i="1" s="1"/>
  <c r="E54" i="1" a="1"/>
  <c r="E54" i="1"/>
  <c r="E55" i="1" a="1"/>
  <c r="E55" i="1" s="1"/>
  <c r="E56" i="1" a="1"/>
  <c r="E56" i="1" s="1"/>
  <c r="E57" i="1" a="1"/>
  <c r="E57" i="1" s="1"/>
  <c r="E58" i="1" a="1"/>
  <c r="E58" i="1"/>
  <c r="E59" i="1" a="1"/>
  <c r="E59" i="1" s="1"/>
  <c r="E60" i="1" a="1"/>
  <c r="E60" i="1" s="1"/>
  <c r="E61" i="1" a="1"/>
  <c r="E61" i="1" s="1"/>
  <c r="E62" i="1" a="1"/>
  <c r="E62" i="1"/>
  <c r="E63" i="1" a="1"/>
  <c r="E63" i="1" s="1"/>
  <c r="E64" i="1" a="1"/>
  <c r="E64" i="1" s="1"/>
  <c r="E65" i="1" a="1"/>
  <c r="E65" i="1" s="1"/>
  <c r="E66" i="1" a="1"/>
  <c r="E66" i="1"/>
  <c r="E67" i="1" a="1"/>
  <c r="E67" i="1" s="1"/>
  <c r="E68" i="1" a="1"/>
  <c r="E68" i="1" s="1"/>
  <c r="E69" i="1" a="1"/>
  <c r="E69" i="1" s="1"/>
  <c r="E70" i="1" a="1"/>
  <c r="E70" i="1"/>
  <c r="E71" i="1" a="1"/>
  <c r="E71" i="1" s="1"/>
  <c r="E72" i="1" a="1"/>
  <c r="E72" i="1" s="1"/>
  <c r="E73" i="1" a="1"/>
  <c r="E73" i="1" s="1"/>
  <c r="E74" i="1" a="1"/>
  <c r="E74" i="1"/>
  <c r="E75" i="1" a="1"/>
  <c r="E75" i="1" s="1"/>
  <c r="E76" i="1" a="1"/>
  <c r="E76" i="1" s="1"/>
  <c r="E77" i="1" a="1"/>
  <c r="E77" i="1" s="1"/>
  <c r="E78" i="1" a="1"/>
  <c r="E78" i="1"/>
  <c r="E79" i="1" a="1"/>
  <c r="E79" i="1" s="1"/>
  <c r="E80" i="1" a="1"/>
  <c r="E80" i="1" s="1"/>
  <c r="E81" i="1" a="1"/>
  <c r="E81" i="1" s="1"/>
  <c r="E82" i="1" a="1"/>
  <c r="E82" i="1"/>
  <c r="E83" i="1" a="1"/>
  <c r="E83" i="1" s="1"/>
  <c r="E84" i="1" a="1"/>
  <c r="E84" i="1" s="1"/>
  <c r="E85" i="1" a="1"/>
  <c r="E85" i="1" s="1"/>
  <c r="E86" i="1" a="1"/>
  <c r="E86" i="1"/>
  <c r="E87" i="1" a="1"/>
  <c r="E87" i="1" s="1"/>
  <c r="E88" i="1" a="1"/>
  <c r="E88" i="1" s="1"/>
  <c r="E89" i="1" a="1"/>
  <c r="E89" i="1" s="1"/>
  <c r="E90" i="1" a="1"/>
  <c r="E90" i="1"/>
  <c r="E91" i="1" a="1"/>
  <c r="E91" i="1" s="1"/>
  <c r="E92" i="1" a="1"/>
  <c r="E92" i="1" s="1"/>
  <c r="E93" i="1" a="1"/>
  <c r="E93" i="1" s="1"/>
  <c r="E94" i="1" a="1"/>
  <c r="E94" i="1"/>
  <c r="E95" i="1" a="1"/>
  <c r="E95" i="1" s="1"/>
  <c r="E96" i="1" a="1"/>
  <c r="E96" i="1" s="1"/>
  <c r="E97" i="1" a="1"/>
  <c r="E97" i="1" s="1"/>
  <c r="E98" i="1" a="1"/>
  <c r="E98" i="1"/>
  <c r="E99" i="1" a="1"/>
  <c r="E99" i="1" s="1"/>
  <c r="E100" i="1" a="1"/>
  <c r="E100" i="1" s="1"/>
  <c r="E101" i="1" a="1"/>
  <c r="E101" i="1" s="1"/>
  <c r="E102" i="1" a="1"/>
  <c r="E102" i="1"/>
  <c r="E103" i="1" a="1"/>
  <c r="E103" i="1" s="1"/>
  <c r="E104" i="1" a="1"/>
  <c r="E104" i="1" s="1"/>
  <c r="E105" i="1" a="1"/>
  <c r="E105" i="1" s="1"/>
  <c r="E106" i="1" a="1"/>
  <c r="E106" i="1"/>
  <c r="E107" i="1" a="1"/>
  <c r="E107" i="1" s="1"/>
  <c r="E108" i="1" a="1"/>
  <c r="E108" i="1" s="1"/>
  <c r="E109" i="1" a="1"/>
  <c r="E109" i="1" s="1"/>
  <c r="E110" i="1" a="1"/>
  <c r="E110" i="1"/>
  <c r="E111" i="1" a="1"/>
  <c r="E111" i="1" s="1"/>
  <c r="E112" i="1" a="1"/>
  <c r="E112" i="1" s="1"/>
  <c r="E113" i="1" a="1"/>
  <c r="E113" i="1" s="1"/>
  <c r="E114" i="1" a="1"/>
  <c r="E114" i="1"/>
  <c r="E115" i="1" a="1"/>
  <c r="E115" i="1" s="1"/>
  <c r="E116" i="1" a="1"/>
  <c r="E116" i="1" s="1"/>
  <c r="E117" i="1" a="1"/>
  <c r="E117" i="1" s="1"/>
  <c r="E118" i="1" a="1"/>
  <c r="E118" i="1"/>
  <c r="E119" i="1" a="1"/>
  <c r="E119" i="1" s="1"/>
  <c r="E120" i="1" a="1"/>
  <c r="E120" i="1" s="1"/>
  <c r="E121" i="1" a="1"/>
  <c r="E121" i="1" s="1"/>
  <c r="E122" i="1" a="1"/>
  <c r="E122" i="1"/>
  <c r="E123" i="1" a="1"/>
  <c r="E123" i="1" s="1"/>
  <c r="E124" i="1" a="1"/>
  <c r="E124" i="1" s="1"/>
  <c r="E125" i="1" a="1"/>
  <c r="E125" i="1" s="1"/>
  <c r="E126" i="1" a="1"/>
  <c r="E126" i="1"/>
  <c r="E127" i="1" a="1"/>
  <c r="E127" i="1" s="1"/>
  <c r="E128" i="1" a="1"/>
  <c r="E128" i="1" s="1"/>
  <c r="E129" i="1" a="1"/>
  <c r="E129" i="1" s="1"/>
  <c r="E130" i="1" a="1"/>
  <c r="E130" i="1"/>
  <c r="E131" i="1" a="1"/>
  <c r="E131" i="1" s="1"/>
  <c r="E132" i="1" a="1"/>
  <c r="E132" i="1" s="1"/>
  <c r="E133" i="1" a="1"/>
  <c r="E133" i="1" s="1"/>
  <c r="E134" i="1" a="1"/>
  <c r="E134" i="1"/>
  <c r="E135" i="1" a="1"/>
  <c r="E135" i="1" s="1"/>
  <c r="E136" i="1" a="1"/>
  <c r="E136" i="1" s="1"/>
  <c r="E137" i="1" a="1"/>
  <c r="E137" i="1" s="1"/>
  <c r="E138" i="1" a="1"/>
  <c r="E138" i="1"/>
  <c r="E139" i="1" a="1"/>
  <c r="E139" i="1" s="1"/>
  <c r="E140" i="1" a="1"/>
  <c r="E140" i="1" s="1"/>
  <c r="E141" i="1" a="1"/>
  <c r="E141" i="1" s="1"/>
  <c r="E142" i="1" a="1"/>
  <c r="E142" i="1"/>
  <c r="E143" i="1" a="1"/>
  <c r="E143" i="1" s="1"/>
  <c r="E144" i="1" a="1"/>
  <c r="E144" i="1" s="1"/>
  <c r="E145" i="1" a="1"/>
  <c r="E145" i="1" s="1"/>
  <c r="E146" i="1" a="1"/>
  <c r="E146" i="1"/>
  <c r="E147" i="1" a="1"/>
  <c r="E147" i="1" s="1"/>
  <c r="E148" i="1" a="1"/>
  <c r="E148" i="1" s="1"/>
  <c r="E149" i="1" a="1"/>
  <c r="E149" i="1" s="1"/>
  <c r="E150" i="1" a="1"/>
  <c r="E150" i="1"/>
  <c r="E151" i="1" a="1"/>
  <c r="E151" i="1" s="1"/>
  <c r="E152" i="1" a="1"/>
  <c r="E152" i="1" s="1"/>
  <c r="E153" i="1" a="1"/>
  <c r="E153" i="1" s="1"/>
  <c r="E154" i="1" a="1"/>
  <c r="E154" i="1"/>
  <c r="E155" i="1" a="1"/>
  <c r="E155" i="1" s="1"/>
  <c r="E156" i="1" a="1"/>
  <c r="E156" i="1" s="1"/>
  <c r="E157" i="1" a="1"/>
  <c r="E157" i="1" s="1"/>
  <c r="E158" i="1" a="1"/>
  <c r="E158" i="1"/>
  <c r="E159" i="1" a="1"/>
  <c r="E159" i="1" s="1"/>
  <c r="E160" i="1" a="1"/>
  <c r="E160" i="1" s="1"/>
  <c r="E161" i="1" a="1"/>
  <c r="E161" i="1" s="1"/>
  <c r="E162" i="1" a="1"/>
  <c r="E162" i="1"/>
  <c r="E163" i="1" a="1"/>
  <c r="E163" i="1" s="1"/>
  <c r="E164" i="1" a="1"/>
  <c r="E164" i="1" s="1"/>
  <c r="E165" i="1" a="1"/>
  <c r="E165" i="1" s="1"/>
  <c r="E166" i="1" a="1"/>
  <c r="E166" i="1"/>
  <c r="E167" i="1" a="1"/>
  <c r="E167" i="1" s="1"/>
  <c r="E168" i="1" a="1"/>
  <c r="E168" i="1" s="1"/>
  <c r="E169" i="1" a="1"/>
  <c r="E169" i="1" s="1"/>
  <c r="E170" i="1" a="1"/>
  <c r="E170" i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/>
  <c r="E304" i="1" a="1"/>
  <c r="E304" i="1" s="1"/>
  <c r="E305" i="1" a="1"/>
  <c r="E305" i="1"/>
  <c r="E306" i="1" a="1"/>
  <c r="E306" i="1" s="1"/>
  <c r="E307" i="1" a="1"/>
  <c r="E307" i="1"/>
  <c r="E308" i="1" a="1"/>
  <c r="E308" i="1" s="1"/>
  <c r="E309" i="1" a="1"/>
  <c r="E309" i="1"/>
  <c r="E310" i="1" a="1"/>
  <c r="E310" i="1" s="1"/>
  <c r="E311" i="1" a="1"/>
  <c r="E311" i="1"/>
  <c r="E312" i="1" a="1"/>
  <c r="E312" i="1" s="1"/>
  <c r="E313" i="1" a="1"/>
  <c r="E313" i="1"/>
  <c r="E314" i="1" a="1"/>
  <c r="E314" i="1" s="1"/>
  <c r="E315" i="1" a="1"/>
  <c r="E315" i="1"/>
  <c r="E316" i="1" a="1"/>
  <c r="E316" i="1" s="1"/>
  <c r="E317" i="1" a="1"/>
  <c r="E317" i="1"/>
  <c r="E318" i="1" a="1"/>
  <c r="E318" i="1" s="1"/>
  <c r="E319" i="1" a="1"/>
  <c r="E319" i="1"/>
  <c r="E320" i="1" a="1"/>
  <c r="E320" i="1" s="1"/>
  <c r="E321" i="1" a="1"/>
  <c r="E321" i="1"/>
  <c r="E322" i="1" a="1"/>
  <c r="E322" i="1" s="1"/>
  <c r="E323" i="1" a="1"/>
  <c r="E323" i="1"/>
  <c r="E324" i="1" a="1"/>
  <c r="E324" i="1" s="1"/>
  <c r="E325" i="1" a="1"/>
  <c r="E325" i="1"/>
  <c r="E326" i="1" a="1"/>
  <c r="E326" i="1" s="1"/>
  <c r="E327" i="1" a="1"/>
  <c r="E327" i="1"/>
  <c r="E328" i="1" a="1"/>
  <c r="E328" i="1" s="1"/>
  <c r="E329" i="1" a="1"/>
  <c r="E329" i="1"/>
  <c r="E330" i="1" a="1"/>
  <c r="E330" i="1" s="1"/>
  <c r="E331" i="1" a="1"/>
  <c r="E331" i="1"/>
  <c r="E332" i="1" a="1"/>
  <c r="E332" i="1" s="1"/>
  <c r="E333" i="1" a="1"/>
  <c r="E333" i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506" i="1" a="1"/>
  <c r="E506" i="1" s="1"/>
  <c r="E507" i="1" a="1"/>
  <c r="E507" i="1" s="1"/>
  <c r="E508" i="1" a="1"/>
  <c r="E508" i="1" s="1"/>
  <c r="E509" i="1" a="1"/>
  <c r="E509" i="1" s="1"/>
  <c r="E510" i="1" a="1"/>
  <c r="E510" i="1" s="1"/>
  <c r="E511" i="1" a="1"/>
  <c r="E511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 s="1"/>
  <c r="E567" i="1" a="1"/>
  <c r="E567" i="1" s="1"/>
  <c r="E568" i="1" a="1"/>
  <c r="E568" i="1" s="1"/>
  <c r="E569" i="1" a="1"/>
  <c r="E569" i="1" s="1"/>
  <c r="E570" i="1" a="1"/>
  <c r="E570" i="1" s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 s="1"/>
  <c r="E596" i="1" a="1"/>
  <c r="E596" i="1" s="1"/>
  <c r="E597" i="1" a="1"/>
  <c r="E597" i="1" s="1"/>
  <c r="E598" i="1" a="1"/>
  <c r="E598" i="1" s="1"/>
  <c r="E599" i="1" a="1"/>
  <c r="E599" i="1" s="1"/>
  <c r="E600" i="1" a="1"/>
  <c r="E600" i="1" s="1"/>
  <c r="E601" i="1" a="1"/>
  <c r="E601" i="1" s="1"/>
  <c r="E602" i="1" a="1"/>
  <c r="E602" i="1" s="1"/>
  <c r="E603" i="1" a="1"/>
  <c r="E603" i="1" s="1"/>
  <c r="E604" i="1" a="1"/>
  <c r="E604" i="1" s="1"/>
  <c r="E605" i="1" a="1"/>
  <c r="E605" i="1" s="1"/>
  <c r="E606" i="1" a="1"/>
  <c r="E606" i="1" s="1"/>
  <c r="E607" i="1" a="1"/>
  <c r="E607" i="1" s="1"/>
  <c r="E608" i="1" a="1"/>
  <c r="E608" i="1" s="1"/>
  <c r="E609" i="1" a="1"/>
  <c r="E609" i="1" s="1"/>
  <c r="E610" i="1" a="1"/>
  <c r="E610" i="1" s="1"/>
  <c r="E611" i="1" a="1"/>
  <c r="E611" i="1" s="1"/>
  <c r="E612" i="1" a="1"/>
  <c r="E612" i="1" s="1"/>
  <c r="E613" i="1" a="1"/>
  <c r="E613" i="1" s="1"/>
  <c r="E614" i="1" a="1"/>
  <c r="E614" i="1" s="1"/>
  <c r="E615" i="1" a="1"/>
  <c r="E615" i="1" s="1"/>
  <c r="E616" i="1" a="1"/>
  <c r="E616" i="1" s="1"/>
  <c r="E617" i="1" a="1"/>
  <c r="E617" i="1" s="1"/>
  <c r="E618" i="1" a="1"/>
  <c r="E618" i="1" s="1"/>
  <c r="E619" i="1" a="1"/>
  <c r="E619" i="1" s="1"/>
  <c r="E620" i="1" a="1"/>
  <c r="E620" i="1" s="1"/>
  <c r="E621" i="1" a="1"/>
  <c r="E621" i="1" s="1"/>
  <c r="E622" i="1" a="1"/>
  <c r="E622" i="1" s="1"/>
  <c r="E623" i="1" a="1"/>
  <c r="E623" i="1" s="1"/>
  <c r="E624" i="1" a="1"/>
  <c r="E624" i="1" s="1"/>
  <c r="E625" i="1" a="1"/>
  <c r="E625" i="1" s="1"/>
  <c r="E626" i="1" a="1"/>
  <c r="E626" i="1" s="1"/>
  <c r="E627" i="1" a="1"/>
  <c r="E627" i="1" s="1"/>
  <c r="E628" i="1" a="1"/>
  <c r="E628" i="1" s="1"/>
  <c r="E629" i="1" a="1"/>
  <c r="E629" i="1" s="1"/>
  <c r="E630" i="1" a="1"/>
  <c r="E630" i="1" s="1"/>
  <c r="E631" i="1" a="1"/>
  <c r="E631" i="1" s="1"/>
  <c r="E632" i="1" a="1"/>
  <c r="E632" i="1" s="1"/>
  <c r="E633" i="1" a="1"/>
  <c r="E633" i="1" s="1"/>
  <c r="E634" i="1" a="1"/>
  <c r="E634" i="1" s="1"/>
  <c r="E635" i="1" a="1"/>
  <c r="E635" i="1" s="1"/>
  <c r="E636" i="1" a="1"/>
  <c r="E636" i="1" s="1"/>
  <c r="E637" i="1" a="1"/>
  <c r="E637" i="1" s="1"/>
  <c r="E638" i="1" a="1"/>
  <c r="E638" i="1" s="1"/>
  <c r="E639" i="1" a="1"/>
  <c r="E639" i="1" s="1"/>
  <c r="E640" i="1" a="1"/>
  <c r="E640" i="1" s="1"/>
  <c r="E641" i="1" a="1"/>
  <c r="E641" i="1" s="1"/>
  <c r="E642" i="1" a="1"/>
  <c r="E642" i="1" s="1"/>
  <c r="E643" i="1" a="1"/>
  <c r="E643" i="1" s="1"/>
  <c r="E644" i="1" a="1"/>
  <c r="E644" i="1" s="1"/>
  <c r="E645" i="1" a="1"/>
  <c r="E645" i="1" s="1"/>
  <c r="E646" i="1" a="1"/>
  <c r="E646" i="1" s="1"/>
  <c r="E647" i="1" a="1"/>
  <c r="E647" i="1" s="1"/>
  <c r="E648" i="1" a="1"/>
  <c r="E648" i="1" s="1"/>
  <c r="E649" i="1" a="1"/>
  <c r="E649" i="1" s="1"/>
  <c r="E650" i="1" a="1"/>
  <c r="E650" i="1" s="1"/>
  <c r="E651" i="1" a="1"/>
  <c r="E651" i="1" s="1"/>
  <c r="E652" i="1" a="1"/>
  <c r="E652" i="1" s="1"/>
  <c r="E653" i="1" a="1"/>
  <c r="E653" i="1" s="1"/>
  <c r="E654" i="1" a="1"/>
  <c r="E654" i="1" s="1"/>
  <c r="E655" i="1" a="1"/>
  <c r="E655" i="1" s="1"/>
  <c r="E656" i="1" a="1"/>
  <c r="E656" i="1" s="1"/>
  <c r="E657" i="1" a="1"/>
  <c r="E657" i="1" s="1"/>
  <c r="E658" i="1" a="1"/>
  <c r="E658" i="1" s="1"/>
  <c r="E659" i="1" a="1"/>
  <c r="E659" i="1" s="1"/>
  <c r="E660" i="1" a="1"/>
  <c r="E660" i="1" s="1"/>
  <c r="E661" i="1" a="1"/>
  <c r="E661" i="1" s="1"/>
  <c r="E662" i="1" a="1"/>
  <c r="E662" i="1" s="1"/>
  <c r="E663" i="1" a="1"/>
  <c r="E663" i="1" s="1"/>
  <c r="E664" i="1" a="1"/>
  <c r="E664" i="1" s="1"/>
  <c r="E665" i="1" a="1"/>
  <c r="E665" i="1" s="1"/>
  <c r="E666" i="1" a="1"/>
  <c r="E666" i="1" s="1"/>
  <c r="E667" i="1" a="1"/>
  <c r="E667" i="1" s="1"/>
  <c r="E668" i="1" a="1"/>
  <c r="E668" i="1" s="1"/>
  <c r="E669" i="1" a="1"/>
  <c r="E669" i="1" s="1"/>
  <c r="E670" i="1" a="1"/>
  <c r="E670" i="1" s="1"/>
  <c r="E671" i="1" a="1"/>
  <c r="E671" i="1" s="1"/>
  <c r="E672" i="1" a="1"/>
  <c r="E672" i="1" s="1"/>
  <c r="E673" i="1" a="1"/>
  <c r="E673" i="1" s="1"/>
  <c r="E674" i="1" a="1"/>
  <c r="E674" i="1" s="1"/>
  <c r="E675" i="1" a="1"/>
  <c r="E675" i="1" s="1"/>
  <c r="E676" i="1" a="1"/>
  <c r="E676" i="1" s="1"/>
  <c r="E677" i="1" a="1"/>
  <c r="E677" i="1" s="1"/>
  <c r="E678" i="1" a="1"/>
  <c r="E678" i="1" s="1"/>
  <c r="E679" i="1" a="1"/>
  <c r="E679" i="1" s="1"/>
  <c r="E680" i="1" a="1"/>
  <c r="E680" i="1" s="1"/>
  <c r="E681" i="1" a="1"/>
  <c r="E681" i="1" s="1"/>
  <c r="E682" i="1" a="1"/>
  <c r="E682" i="1" s="1"/>
  <c r="E683" i="1" a="1"/>
  <c r="E683" i="1" s="1"/>
  <c r="E684" i="1" a="1"/>
  <c r="E684" i="1" s="1"/>
  <c r="E685" i="1" a="1"/>
  <c r="E685" i="1" s="1"/>
  <c r="E686" i="1" a="1"/>
  <c r="E686" i="1" s="1"/>
  <c r="E687" i="1" a="1"/>
  <c r="E687" i="1" s="1"/>
  <c r="E688" i="1" a="1"/>
  <c r="E688" i="1" s="1"/>
  <c r="E689" i="1" a="1"/>
  <c r="E689" i="1" s="1"/>
  <c r="E690" i="1" a="1"/>
  <c r="E690" i="1" s="1"/>
  <c r="E691" i="1" a="1"/>
  <c r="E691" i="1" s="1"/>
  <c r="E692" i="1" a="1"/>
  <c r="E692" i="1" s="1"/>
  <c r="E693" i="1" a="1"/>
  <c r="E693" i="1" s="1"/>
  <c r="E694" i="1" a="1"/>
  <c r="E694" i="1" s="1"/>
  <c r="E695" i="1" a="1"/>
  <c r="E695" i="1" s="1"/>
  <c r="E696" i="1" a="1"/>
  <c r="E696" i="1" s="1"/>
  <c r="E697" i="1" a="1"/>
  <c r="E697" i="1" s="1"/>
  <c r="E698" i="1" a="1"/>
  <c r="E698" i="1" s="1"/>
  <c r="E699" i="1" a="1"/>
  <c r="E699" i="1" s="1"/>
  <c r="E700" i="1" a="1"/>
  <c r="E700" i="1" s="1"/>
  <c r="E701" i="1" a="1"/>
  <c r="E701" i="1" s="1"/>
  <c r="E702" i="1" a="1"/>
  <c r="E702" i="1" s="1"/>
  <c r="E703" i="1" a="1"/>
  <c r="E703" i="1" s="1"/>
  <c r="E704" i="1" a="1"/>
  <c r="E704" i="1" s="1"/>
  <c r="E705" i="1" a="1"/>
  <c r="E705" i="1" s="1"/>
  <c r="E706" i="1" a="1"/>
  <c r="E706" i="1" s="1"/>
  <c r="E707" i="1" a="1"/>
  <c r="E707" i="1" s="1"/>
  <c r="E708" i="1" a="1"/>
  <c r="E708" i="1" s="1"/>
  <c r="E709" i="1" a="1"/>
  <c r="E709" i="1" s="1"/>
  <c r="E710" i="1" a="1"/>
  <c r="E710" i="1" s="1"/>
  <c r="E711" i="1" a="1"/>
  <c r="E711" i="1" s="1"/>
  <c r="E712" i="1" a="1"/>
  <c r="E712" i="1" s="1"/>
  <c r="E713" i="1" a="1"/>
  <c r="E713" i="1" s="1"/>
  <c r="E714" i="1" a="1"/>
  <c r="E714" i="1" s="1"/>
  <c r="E715" i="1" a="1"/>
  <c r="E715" i="1" s="1"/>
  <c r="E716" i="1" a="1"/>
  <c r="E716" i="1" s="1"/>
  <c r="E717" i="1" a="1"/>
  <c r="E717" i="1" s="1"/>
  <c r="E718" i="1" a="1"/>
  <c r="E718" i="1" s="1"/>
  <c r="E719" i="1" a="1"/>
  <c r="E719" i="1" s="1"/>
  <c r="E720" i="1" a="1"/>
  <c r="E720" i="1" s="1"/>
  <c r="E721" i="1" a="1"/>
  <c r="E721" i="1" s="1"/>
  <c r="E722" i="1" a="1"/>
  <c r="E722" i="1" s="1"/>
  <c r="E723" i="1" a="1"/>
  <c r="E723" i="1" s="1"/>
  <c r="E724" i="1" a="1"/>
  <c r="E724" i="1" s="1"/>
  <c r="E725" i="1" a="1"/>
  <c r="E725" i="1" s="1"/>
  <c r="E726" i="1" a="1"/>
  <c r="E726" i="1" s="1"/>
  <c r="E727" i="1" a="1"/>
  <c r="E727" i="1" s="1"/>
  <c r="E728" i="1" a="1"/>
  <c r="E728" i="1" s="1"/>
  <c r="E729" i="1" a="1"/>
  <c r="E729" i="1" s="1"/>
  <c r="E730" i="1" a="1"/>
  <c r="E730" i="1" s="1"/>
  <c r="E731" i="1" a="1"/>
  <c r="E731" i="1" s="1"/>
  <c r="E732" i="1" a="1"/>
  <c r="E732" i="1" s="1"/>
  <c r="E733" i="1" a="1"/>
  <c r="E733" i="1" s="1"/>
  <c r="E734" i="1" a="1"/>
  <c r="E734" i="1" s="1"/>
  <c r="E735" i="1" a="1"/>
  <c r="E735" i="1" s="1"/>
  <c r="E736" i="1" a="1"/>
  <c r="E736" i="1" s="1"/>
  <c r="E737" i="1" a="1"/>
  <c r="E737" i="1" s="1"/>
  <c r="E738" i="1" a="1"/>
  <c r="E738" i="1" s="1"/>
  <c r="E739" i="1" a="1"/>
  <c r="E739" i="1" s="1"/>
  <c r="E740" i="1" a="1"/>
  <c r="E740" i="1" s="1"/>
  <c r="E741" i="1" a="1"/>
  <c r="E741" i="1" s="1"/>
  <c r="E742" i="1" a="1"/>
  <c r="E742" i="1" s="1"/>
  <c r="E743" i="1" a="1"/>
  <c r="E743" i="1" s="1"/>
  <c r="E744" i="1" a="1"/>
  <c r="E744" i="1" s="1"/>
  <c r="E745" i="1" a="1"/>
  <c r="E745" i="1" s="1"/>
  <c r="E746" i="1" a="1"/>
  <c r="E746" i="1" s="1"/>
  <c r="E747" i="1" a="1"/>
  <c r="E747" i="1" s="1"/>
  <c r="E748" i="1" a="1"/>
  <c r="E748" i="1" s="1"/>
  <c r="E749" i="1" a="1"/>
  <c r="E749" i="1" s="1"/>
  <c r="E750" i="1" a="1"/>
  <c r="E750" i="1" s="1"/>
  <c r="E751" i="1" a="1"/>
  <c r="E751" i="1" s="1"/>
  <c r="E752" i="1" a="1"/>
  <c r="E752" i="1" s="1"/>
  <c r="E753" i="1" a="1"/>
  <c r="E753" i="1" s="1"/>
  <c r="E754" i="1" a="1"/>
  <c r="E754" i="1" s="1"/>
  <c r="E755" i="1" a="1"/>
  <c r="E755" i="1" s="1"/>
  <c r="E756" i="1" a="1"/>
  <c r="E756" i="1" s="1"/>
  <c r="E757" i="1" a="1"/>
  <c r="E757" i="1" s="1"/>
  <c r="E758" i="1" a="1"/>
  <c r="E758" i="1" s="1"/>
  <c r="E759" i="1" a="1"/>
  <c r="E759" i="1" s="1"/>
  <c r="E760" i="1" a="1"/>
  <c r="E760" i="1" s="1"/>
  <c r="E761" i="1" a="1"/>
  <c r="E761" i="1" s="1"/>
  <c r="E762" i="1" a="1"/>
  <c r="E762" i="1" s="1"/>
  <c r="E763" i="1" a="1"/>
  <c r="E763" i="1" s="1"/>
  <c r="E764" i="1" a="1"/>
  <c r="E764" i="1" s="1"/>
  <c r="E765" i="1" a="1"/>
  <c r="E765" i="1" s="1"/>
  <c r="E766" i="1" a="1"/>
  <c r="E766" i="1" s="1"/>
  <c r="E767" i="1" a="1"/>
  <c r="E767" i="1" s="1"/>
  <c r="E768" i="1" a="1"/>
  <c r="E768" i="1" s="1"/>
  <c r="E769" i="1" a="1"/>
  <c r="E769" i="1" s="1"/>
  <c r="E770" i="1" a="1"/>
  <c r="E770" i="1" s="1"/>
  <c r="E771" i="1" a="1"/>
  <c r="E771" i="1" s="1"/>
  <c r="E772" i="1" a="1"/>
  <c r="E772" i="1" s="1"/>
  <c r="E773" i="1" a="1"/>
  <c r="E773" i="1" s="1"/>
  <c r="E774" i="1" a="1"/>
  <c r="E774" i="1" s="1"/>
  <c r="E775" i="1" a="1"/>
  <c r="E775" i="1" s="1"/>
  <c r="E776" i="1" a="1"/>
  <c r="E776" i="1" s="1"/>
  <c r="E777" i="1" a="1"/>
  <c r="E777" i="1" s="1"/>
  <c r="E778" i="1" a="1"/>
  <c r="E778" i="1" s="1"/>
  <c r="E779" i="1" a="1"/>
  <c r="E779" i="1" s="1"/>
  <c r="E780" i="1" a="1"/>
  <c r="E780" i="1" s="1"/>
  <c r="E781" i="1" a="1"/>
  <c r="E781" i="1" s="1"/>
  <c r="E782" i="1" a="1"/>
  <c r="E782" i="1" s="1"/>
  <c r="E783" i="1" a="1"/>
  <c r="E783" i="1" s="1"/>
  <c r="E784" i="1" a="1"/>
  <c r="E784" i="1" s="1"/>
  <c r="E785" i="1" a="1"/>
  <c r="E785" i="1" s="1"/>
  <c r="E786" i="1" a="1"/>
  <c r="E786" i="1" s="1"/>
  <c r="E787" i="1" a="1"/>
  <c r="E787" i="1" s="1"/>
  <c r="E788" i="1" a="1"/>
  <c r="E788" i="1" s="1"/>
  <c r="E789" i="1" a="1"/>
  <c r="E789" i="1" s="1"/>
  <c r="E790" i="1" a="1"/>
  <c r="E790" i="1" s="1"/>
  <c r="E791" i="1" a="1"/>
  <c r="E791" i="1" s="1"/>
  <c r="E792" i="1" a="1"/>
  <c r="E792" i="1" s="1"/>
  <c r="E793" i="1" a="1"/>
  <c r="E793" i="1" s="1"/>
  <c r="E794" i="1" a="1"/>
  <c r="E794" i="1" s="1"/>
  <c r="E795" i="1" a="1"/>
  <c r="E795" i="1" s="1"/>
  <c r="E796" i="1" a="1"/>
  <c r="E796" i="1" s="1"/>
  <c r="E797" i="1" a="1"/>
  <c r="E797" i="1" s="1"/>
  <c r="E798" i="1" a="1"/>
  <c r="E798" i="1" s="1"/>
  <c r="E799" i="1" a="1"/>
  <c r="E799" i="1" s="1"/>
  <c r="E800" i="1" a="1"/>
  <c r="E800" i="1" s="1"/>
  <c r="E801" i="1" a="1"/>
  <c r="E801" i="1" s="1"/>
  <c r="E802" i="1" a="1"/>
  <c r="E802" i="1" s="1"/>
  <c r="E803" i="1" a="1"/>
  <c r="E803" i="1" s="1"/>
  <c r="E804" i="1" a="1"/>
  <c r="E804" i="1" s="1"/>
  <c r="E805" i="1" a="1"/>
  <c r="E805" i="1" s="1"/>
  <c r="E806" i="1" a="1"/>
  <c r="E806" i="1" s="1"/>
  <c r="E807" i="1" a="1"/>
  <c r="E807" i="1" s="1"/>
  <c r="E808" i="1" a="1"/>
  <c r="E808" i="1" s="1"/>
  <c r="E809" i="1" a="1"/>
  <c r="E809" i="1" s="1"/>
  <c r="E810" i="1" a="1"/>
  <c r="E810" i="1" s="1"/>
  <c r="E811" i="1" a="1"/>
  <c r="E811" i="1" s="1"/>
  <c r="E812" i="1" a="1"/>
  <c r="E812" i="1" s="1"/>
  <c r="E813" i="1" a="1"/>
  <c r="E813" i="1" s="1"/>
  <c r="E814" i="1" a="1"/>
  <c r="E814" i="1" s="1"/>
  <c r="E815" i="1" a="1"/>
  <c r="E815" i="1" s="1"/>
  <c r="E816" i="1" a="1"/>
  <c r="E816" i="1" s="1"/>
  <c r="E817" i="1" a="1"/>
  <c r="E817" i="1" s="1"/>
  <c r="E818" i="1" a="1"/>
  <c r="E818" i="1" s="1"/>
  <c r="E819" i="1" a="1"/>
  <c r="E819" i="1" s="1"/>
  <c r="E820" i="1" a="1"/>
  <c r="E820" i="1" s="1"/>
  <c r="E821" i="1" a="1"/>
  <c r="E821" i="1" s="1"/>
  <c r="E822" i="1" a="1"/>
  <c r="E822" i="1" s="1"/>
  <c r="E823" i="1" a="1"/>
  <c r="E823" i="1" s="1"/>
  <c r="E824" i="1" a="1"/>
  <c r="E824" i="1" s="1"/>
  <c r="E825" i="1" a="1"/>
  <c r="E825" i="1" s="1"/>
  <c r="E826" i="1" a="1"/>
  <c r="E826" i="1" s="1"/>
  <c r="E827" i="1" a="1"/>
  <c r="E827" i="1" s="1"/>
  <c r="E828" i="1" a="1"/>
  <c r="E828" i="1" s="1"/>
  <c r="E829" i="1" a="1"/>
  <c r="E829" i="1" s="1"/>
  <c r="E830" i="1" a="1"/>
  <c r="E830" i="1" s="1"/>
  <c r="E831" i="1" a="1"/>
  <c r="E831" i="1" s="1"/>
  <c r="E832" i="1" a="1"/>
  <c r="E832" i="1" s="1"/>
  <c r="E833" i="1" a="1"/>
  <c r="E833" i="1" s="1"/>
  <c r="E834" i="1" a="1"/>
  <c r="E834" i="1" s="1"/>
  <c r="E835" i="1" a="1"/>
  <c r="E835" i="1" s="1"/>
  <c r="E836" i="1" a="1"/>
  <c r="E836" i="1" s="1"/>
  <c r="E837" i="1" a="1"/>
  <c r="E837" i="1" s="1"/>
  <c r="E838" i="1" a="1"/>
  <c r="E838" i="1" s="1"/>
  <c r="E839" i="1" a="1"/>
  <c r="E839" i="1" s="1"/>
  <c r="E840" i="1" a="1"/>
  <c r="E840" i="1" s="1"/>
  <c r="E841" i="1" a="1"/>
  <c r="E841" i="1" s="1"/>
  <c r="E842" i="1" a="1"/>
  <c r="E842" i="1" s="1"/>
  <c r="E843" i="1" a="1"/>
  <c r="E843" i="1" s="1"/>
  <c r="E844" i="1" a="1"/>
  <c r="E844" i="1" s="1"/>
  <c r="E845" i="1" a="1"/>
  <c r="E845" i="1" s="1"/>
  <c r="E846" i="1" a="1"/>
  <c r="E846" i="1" s="1"/>
  <c r="E847" i="1" a="1"/>
  <c r="E847" i="1" s="1"/>
  <c r="E848" i="1" a="1"/>
  <c r="E848" i="1" s="1"/>
  <c r="E849" i="1" a="1"/>
  <c r="E849" i="1" s="1"/>
  <c r="E850" i="1" a="1"/>
  <c r="E850" i="1" s="1"/>
  <c r="E851" i="1" a="1"/>
  <c r="E851" i="1" s="1"/>
  <c r="E852" i="1" a="1"/>
  <c r="E852" i="1" s="1"/>
  <c r="E853" i="1" a="1"/>
  <c r="E853" i="1" s="1"/>
  <c r="E854" i="1" a="1"/>
  <c r="E854" i="1" s="1"/>
  <c r="E855" i="1" a="1"/>
  <c r="E855" i="1" s="1"/>
  <c r="E856" i="1" a="1"/>
  <c r="E856" i="1" s="1"/>
  <c r="E857" i="1" a="1"/>
  <c r="E857" i="1" s="1"/>
  <c r="E858" i="1" a="1"/>
  <c r="E858" i="1" s="1"/>
  <c r="E859" i="1" a="1"/>
  <c r="E859" i="1" s="1"/>
  <c r="E860" i="1" a="1"/>
  <c r="E860" i="1" s="1"/>
  <c r="E861" i="1" a="1"/>
  <c r="E861" i="1" s="1"/>
  <c r="E862" i="1" a="1"/>
  <c r="E862" i="1" s="1"/>
  <c r="E863" i="1" a="1"/>
  <c r="E863" i="1" s="1"/>
  <c r="E864" i="1" a="1"/>
  <c r="E864" i="1" s="1"/>
  <c r="E865" i="1" a="1"/>
  <c r="E865" i="1" s="1"/>
  <c r="E866" i="1" a="1"/>
  <c r="E866" i="1" s="1"/>
  <c r="E867" i="1" a="1"/>
  <c r="E867" i="1" s="1"/>
  <c r="E868" i="1" a="1"/>
  <c r="E868" i="1" s="1"/>
  <c r="E869" i="1" a="1"/>
  <c r="E869" i="1" s="1"/>
  <c r="E870" i="1" a="1"/>
  <c r="E870" i="1" s="1"/>
  <c r="E871" i="1" a="1"/>
  <c r="E871" i="1" s="1"/>
  <c r="E872" i="1" a="1"/>
  <c r="E872" i="1" s="1"/>
  <c r="E873" i="1" a="1"/>
  <c r="E873" i="1" s="1"/>
  <c r="E874" i="1" a="1"/>
  <c r="E874" i="1" s="1"/>
  <c r="E875" i="1" a="1"/>
  <c r="E875" i="1" s="1"/>
  <c r="E876" i="1" a="1"/>
  <c r="E876" i="1" s="1"/>
  <c r="E877" i="1" a="1"/>
  <c r="E877" i="1" s="1"/>
  <c r="E878" i="1" a="1"/>
  <c r="E878" i="1" s="1"/>
  <c r="E879" i="1" a="1"/>
  <c r="E879" i="1" s="1"/>
  <c r="E880" i="1" a="1"/>
  <c r="E880" i="1" s="1"/>
  <c r="E881" i="1" a="1"/>
  <c r="E881" i="1" s="1"/>
  <c r="E882" i="1" a="1"/>
  <c r="E882" i="1" s="1"/>
  <c r="E883" i="1" a="1"/>
  <c r="E883" i="1" s="1"/>
  <c r="E884" i="1" a="1"/>
  <c r="E884" i="1" s="1"/>
  <c r="E885" i="1" a="1"/>
  <c r="E885" i="1" s="1"/>
  <c r="E886" i="1" a="1"/>
  <c r="E886" i="1" s="1"/>
  <c r="E887" i="1" a="1"/>
  <c r="E887" i="1" s="1"/>
  <c r="E888" i="1" a="1"/>
  <c r="E888" i="1" s="1"/>
  <c r="E889" i="1" a="1"/>
  <c r="E889" i="1" s="1"/>
  <c r="E890" i="1" a="1"/>
  <c r="E890" i="1" s="1"/>
  <c r="E891" i="1" a="1"/>
  <c r="E891" i="1" s="1"/>
  <c r="E892" i="1" a="1"/>
  <c r="E892" i="1" s="1"/>
  <c r="E893" i="1" a="1"/>
  <c r="E893" i="1" s="1"/>
  <c r="E894" i="1" a="1"/>
  <c r="E894" i="1" s="1"/>
  <c r="E895" i="1" a="1"/>
  <c r="E895" i="1" s="1"/>
  <c r="E896" i="1" a="1"/>
  <c r="E896" i="1" s="1"/>
  <c r="E897" i="1" a="1"/>
  <c r="E897" i="1" s="1"/>
  <c r="E898" i="1" a="1"/>
  <c r="E898" i="1" s="1"/>
  <c r="E899" i="1" a="1"/>
  <c r="E899" i="1" s="1"/>
  <c r="E900" i="1" a="1"/>
  <c r="E900" i="1" s="1"/>
  <c r="E901" i="1" a="1"/>
  <c r="E901" i="1" s="1"/>
  <c r="E902" i="1" a="1"/>
  <c r="E902" i="1" s="1"/>
  <c r="E903" i="1" a="1"/>
  <c r="E903" i="1" s="1"/>
  <c r="E904" i="1" a="1"/>
  <c r="E904" i="1" s="1"/>
  <c r="E905" i="1" a="1"/>
  <c r="E905" i="1" s="1"/>
  <c r="E906" i="1" a="1"/>
  <c r="E906" i="1" s="1"/>
  <c r="E907" i="1" a="1"/>
  <c r="E907" i="1" s="1"/>
  <c r="E908" i="1" a="1"/>
  <c r="E908" i="1" s="1"/>
  <c r="E909" i="1" a="1"/>
  <c r="E909" i="1" s="1"/>
  <c r="E910" i="1" a="1"/>
  <c r="E910" i="1" s="1"/>
  <c r="E911" i="1" a="1"/>
  <c r="E911" i="1" s="1"/>
  <c r="E912" i="1" a="1"/>
  <c r="E912" i="1" s="1"/>
  <c r="E913" i="1" a="1"/>
  <c r="E913" i="1" s="1"/>
  <c r="E914" i="1" a="1"/>
  <c r="E914" i="1" s="1"/>
  <c r="E915" i="1" a="1"/>
  <c r="E915" i="1" s="1"/>
  <c r="E916" i="1" a="1"/>
  <c r="E916" i="1" s="1"/>
  <c r="E917" i="1" a="1"/>
  <c r="E917" i="1" s="1"/>
  <c r="E918" i="1" a="1"/>
  <c r="E918" i="1" s="1"/>
  <c r="E919" i="1" a="1"/>
  <c r="E919" i="1" s="1"/>
  <c r="E920" i="1" a="1"/>
  <c r="E920" i="1" s="1"/>
  <c r="E921" i="1" a="1"/>
  <c r="E921" i="1" s="1"/>
  <c r="E922" i="1" a="1"/>
  <c r="E922" i="1" s="1"/>
  <c r="E923" i="1" a="1"/>
  <c r="E923" i="1" s="1"/>
  <c r="E924" i="1" a="1"/>
  <c r="E924" i="1" s="1"/>
  <c r="E925" i="1" a="1"/>
  <c r="E925" i="1" s="1"/>
  <c r="E926" i="1" a="1"/>
  <c r="E926" i="1" s="1"/>
  <c r="E927" i="1" a="1"/>
  <c r="E927" i="1" s="1"/>
  <c r="E928" i="1" a="1"/>
  <c r="E928" i="1" s="1"/>
  <c r="E929" i="1" a="1"/>
  <c r="E929" i="1" s="1"/>
  <c r="E930" i="1" a="1"/>
  <c r="E930" i="1" s="1"/>
  <c r="E931" i="1" a="1"/>
  <c r="E931" i="1" s="1"/>
  <c r="E932" i="1" a="1"/>
  <c r="E932" i="1" s="1"/>
  <c r="E933" i="1" a="1"/>
  <c r="E933" i="1" s="1"/>
  <c r="E934" i="1" a="1"/>
  <c r="E934" i="1" s="1"/>
  <c r="E935" i="1" a="1"/>
  <c r="E935" i="1" s="1"/>
  <c r="E936" i="1" a="1"/>
  <c r="E936" i="1" s="1"/>
  <c r="E937" i="1" a="1"/>
  <c r="E937" i="1" s="1"/>
  <c r="E938" i="1" a="1"/>
  <c r="E938" i="1" s="1"/>
  <c r="E939" i="1" a="1"/>
  <c r="E939" i="1" s="1"/>
  <c r="E940" i="1" a="1"/>
  <c r="E940" i="1" s="1"/>
  <c r="E941" i="1" a="1"/>
  <c r="E941" i="1" s="1"/>
  <c r="E942" i="1" a="1"/>
  <c r="E942" i="1" s="1"/>
  <c r="E943" i="1" a="1"/>
  <c r="E943" i="1" s="1"/>
  <c r="E944" i="1" a="1"/>
  <c r="E944" i="1" s="1"/>
  <c r="E945" i="1" a="1"/>
  <c r="E945" i="1" s="1"/>
  <c r="E946" i="1" a="1"/>
  <c r="E946" i="1" s="1"/>
  <c r="E947" i="1" a="1"/>
  <c r="E947" i="1" s="1"/>
  <c r="E948" i="1" a="1"/>
  <c r="E948" i="1" s="1"/>
  <c r="E949" i="1" a="1"/>
  <c r="E949" i="1" s="1"/>
  <c r="E950" i="1" a="1"/>
  <c r="E950" i="1" s="1"/>
  <c r="E951" i="1" a="1"/>
  <c r="E951" i="1" s="1"/>
  <c r="E952" i="1" a="1"/>
  <c r="E952" i="1" s="1"/>
  <c r="E953" i="1" a="1"/>
  <c r="E953" i="1" s="1"/>
  <c r="E954" i="1" a="1"/>
  <c r="E954" i="1" s="1"/>
  <c r="E955" i="1" a="1"/>
  <c r="E955" i="1" s="1"/>
  <c r="E956" i="1" a="1"/>
  <c r="E956" i="1" s="1"/>
  <c r="E957" i="1" a="1"/>
  <c r="E957" i="1" s="1"/>
  <c r="E958" i="1" a="1"/>
  <c r="E958" i="1" s="1"/>
  <c r="E959" i="1" a="1"/>
  <c r="E959" i="1" s="1"/>
  <c r="E960" i="1" a="1"/>
  <c r="E960" i="1" s="1"/>
  <c r="E961" i="1" a="1"/>
  <c r="E961" i="1" s="1"/>
  <c r="E962" i="1" a="1"/>
  <c r="E962" i="1" s="1"/>
  <c r="E963" i="1" a="1"/>
  <c r="E963" i="1" s="1"/>
  <c r="E964" i="1" a="1"/>
  <c r="E964" i="1" s="1"/>
  <c r="E965" i="1" a="1"/>
  <c r="E965" i="1" s="1"/>
  <c r="E966" i="1" a="1"/>
  <c r="E966" i="1" s="1"/>
  <c r="E967" i="1" a="1"/>
  <c r="E967" i="1" s="1"/>
  <c r="E968" i="1" a="1"/>
  <c r="E968" i="1" s="1"/>
  <c r="E969" i="1" a="1"/>
  <c r="E969" i="1" s="1"/>
  <c r="E970" i="1" a="1"/>
  <c r="E970" i="1" s="1"/>
  <c r="E971" i="1" a="1"/>
  <c r="E971" i="1" s="1"/>
  <c r="E972" i="1" a="1"/>
  <c r="E972" i="1" s="1"/>
  <c r="E973" i="1" a="1"/>
  <c r="E973" i="1" s="1"/>
  <c r="E974" i="1" a="1"/>
  <c r="E974" i="1" s="1"/>
  <c r="E975" i="1" a="1"/>
  <c r="E975" i="1" s="1"/>
  <c r="E976" i="1" a="1"/>
  <c r="E976" i="1" s="1"/>
  <c r="E977" i="1" a="1"/>
  <c r="E977" i="1" s="1"/>
  <c r="E978" i="1" a="1"/>
  <c r="E978" i="1" s="1"/>
  <c r="E979" i="1" a="1"/>
  <c r="E979" i="1" s="1"/>
  <c r="E980" i="1" a="1"/>
  <c r="E980" i="1" s="1"/>
  <c r="E981" i="1" a="1"/>
  <c r="E981" i="1" s="1"/>
  <c r="E982" i="1" a="1"/>
  <c r="E982" i="1" s="1"/>
  <c r="E983" i="1" a="1"/>
  <c r="E983" i="1" s="1"/>
  <c r="E984" i="1" a="1"/>
  <c r="E984" i="1" s="1"/>
  <c r="E985" i="1" a="1"/>
  <c r="E985" i="1" s="1"/>
  <c r="E986" i="1" a="1"/>
  <c r="E986" i="1" s="1"/>
  <c r="E987" i="1" a="1"/>
  <c r="E987" i="1" s="1"/>
  <c r="E988" i="1" a="1"/>
  <c r="E988" i="1" s="1"/>
  <c r="E989" i="1" a="1"/>
  <c r="E989" i="1" s="1"/>
  <c r="E990" i="1" a="1"/>
  <c r="E990" i="1" s="1"/>
  <c r="E991" i="1" a="1"/>
  <c r="E991" i="1" s="1"/>
  <c r="E992" i="1" a="1"/>
  <c r="E992" i="1" s="1"/>
  <c r="E993" i="1" a="1"/>
  <c r="E993" i="1" s="1"/>
  <c r="E994" i="1" a="1"/>
  <c r="E994" i="1" s="1"/>
  <c r="E995" i="1" a="1"/>
  <c r="E995" i="1" s="1"/>
  <c r="E996" i="1" a="1"/>
  <c r="E996" i="1" s="1"/>
  <c r="E997" i="1" a="1"/>
  <c r="E997" i="1" s="1"/>
  <c r="E998" i="1" a="1"/>
  <c r="E998" i="1" s="1"/>
  <c r="E999" i="1" a="1"/>
  <c r="E999" i="1" s="1"/>
  <c r="E1000" i="1" a="1"/>
  <c r="E1000" i="1" s="1"/>
  <c r="E1001" i="1" a="1"/>
  <c r="E1001" i="1" s="1"/>
  <c r="E1002" i="1" a="1"/>
  <c r="E1002" i="1" s="1"/>
  <c r="E1003" i="1" a="1"/>
  <c r="E1003" i="1" s="1"/>
  <c r="E1004" i="1" a="1"/>
  <c r="E1004" i="1" s="1"/>
  <c r="E1005" i="1" a="1"/>
  <c r="E1005" i="1" s="1"/>
  <c r="E1006" i="1" a="1"/>
  <c r="E1006" i="1" s="1"/>
  <c r="E1007" i="1" a="1"/>
  <c r="E1007" i="1" s="1"/>
  <c r="E1008" i="1" a="1"/>
  <c r="E1008" i="1" s="1"/>
  <c r="E1009" i="1" a="1"/>
  <c r="E1009" i="1" s="1"/>
  <c r="E1010" i="1" a="1"/>
  <c r="E1010" i="1" s="1"/>
  <c r="E1011" i="1" a="1"/>
  <c r="E1011" i="1" s="1"/>
  <c r="E1012" i="1" a="1"/>
  <c r="E1012" i="1" s="1"/>
  <c r="E1013" i="1" a="1"/>
  <c r="E1013" i="1" s="1"/>
  <c r="E1014" i="1" a="1"/>
  <c r="E1014" i="1" s="1"/>
  <c r="E1015" i="1" a="1"/>
  <c r="E1015" i="1" s="1"/>
  <c r="E1016" i="1" a="1"/>
  <c r="E1016" i="1" s="1"/>
  <c r="E1017" i="1" a="1"/>
  <c r="E1017" i="1" s="1"/>
  <c r="E1018" i="1" a="1"/>
  <c r="E1018" i="1" s="1"/>
  <c r="E1019" i="1" a="1"/>
  <c r="E1019" i="1" s="1"/>
  <c r="E1020" i="1" a="1"/>
  <c r="E1020" i="1" s="1"/>
  <c r="E1021" i="1" a="1"/>
  <c r="E1021" i="1" s="1"/>
  <c r="E1022" i="1" a="1"/>
  <c r="E1022" i="1" s="1"/>
  <c r="E1023" i="1" a="1"/>
  <c r="E1023" i="1" s="1"/>
  <c r="E1024" i="1" a="1"/>
  <c r="E1024" i="1" s="1"/>
  <c r="E1025" i="1" a="1"/>
  <c r="E1025" i="1" s="1"/>
  <c r="E1026" i="1" a="1"/>
  <c r="E1026" i="1" s="1"/>
  <c r="E1027" i="1" a="1"/>
  <c r="E1027" i="1" s="1"/>
  <c r="E1028" i="1" a="1"/>
  <c r="E1028" i="1" s="1"/>
  <c r="E1029" i="1" a="1"/>
  <c r="E1029" i="1" s="1"/>
  <c r="E1030" i="1" a="1"/>
  <c r="E1030" i="1" s="1"/>
  <c r="E1031" i="1" a="1"/>
  <c r="E1031" i="1" s="1"/>
  <c r="E1032" i="1" a="1"/>
  <c r="E1032" i="1" s="1"/>
  <c r="E1033" i="1" a="1"/>
  <c r="E1033" i="1" s="1"/>
  <c r="E1034" i="1" a="1"/>
  <c r="E1034" i="1" s="1"/>
  <c r="E1035" i="1" a="1"/>
  <c r="E1035" i="1" s="1"/>
  <c r="E1036" i="1" a="1"/>
  <c r="E1036" i="1" s="1"/>
  <c r="E1037" i="1" a="1"/>
  <c r="E1037" i="1" s="1"/>
  <c r="E1038" i="1" a="1"/>
  <c r="E1038" i="1" s="1"/>
  <c r="E1039" i="1" a="1"/>
  <c r="E1039" i="1" s="1"/>
  <c r="E1040" i="1" a="1"/>
  <c r="E1040" i="1" s="1"/>
  <c r="E1041" i="1" a="1"/>
  <c r="E1041" i="1" s="1"/>
  <c r="E1042" i="1" a="1"/>
  <c r="E1042" i="1" s="1"/>
  <c r="E1043" i="1" a="1"/>
  <c r="E1043" i="1" s="1"/>
  <c r="E1044" i="1" a="1"/>
  <c r="E1044" i="1" s="1"/>
  <c r="E1045" i="1" a="1"/>
  <c r="E1045" i="1" s="1"/>
  <c r="E1046" i="1" a="1"/>
  <c r="E1046" i="1" s="1"/>
  <c r="E1047" i="1" a="1"/>
  <c r="E1047" i="1" s="1"/>
  <c r="E1048" i="1" a="1"/>
  <c r="E1048" i="1" s="1"/>
  <c r="E1049" i="1" a="1"/>
  <c r="E1049" i="1" s="1"/>
  <c r="E1050" i="1" a="1"/>
  <c r="E1050" i="1" s="1"/>
  <c r="E1051" i="1" a="1"/>
  <c r="E1051" i="1" s="1"/>
  <c r="E1052" i="1" a="1"/>
  <c r="E1052" i="1" s="1"/>
  <c r="E1053" i="1" a="1"/>
  <c r="E1053" i="1" s="1"/>
  <c r="E1054" i="1" a="1"/>
  <c r="E1054" i="1" s="1"/>
  <c r="E1055" i="1" a="1"/>
  <c r="E1055" i="1" s="1"/>
  <c r="E1056" i="1" a="1"/>
  <c r="E1056" i="1" s="1"/>
  <c r="E1057" i="1" a="1"/>
  <c r="E1057" i="1" s="1"/>
  <c r="E1058" i="1" a="1"/>
  <c r="E1058" i="1" s="1"/>
  <c r="E1059" i="1" a="1"/>
  <c r="E1059" i="1" s="1"/>
  <c r="E1060" i="1" a="1"/>
  <c r="E1060" i="1" s="1"/>
  <c r="E1061" i="1" a="1"/>
  <c r="E1061" i="1" s="1"/>
  <c r="E1062" i="1" a="1"/>
  <c r="E1062" i="1" s="1"/>
  <c r="E1063" i="1" a="1"/>
  <c r="E1063" i="1" s="1"/>
  <c r="E1064" i="1" a="1"/>
  <c r="E1064" i="1" s="1"/>
  <c r="E1065" i="1" a="1"/>
  <c r="E1065" i="1" s="1"/>
  <c r="E1066" i="1" a="1"/>
  <c r="E1066" i="1" s="1"/>
  <c r="E1067" i="1" a="1"/>
  <c r="E1067" i="1" s="1"/>
  <c r="E1068" i="1" a="1"/>
  <c r="E1068" i="1" s="1"/>
  <c r="E1069" i="1" a="1"/>
  <c r="E1069" i="1" s="1"/>
  <c r="E1070" i="1" a="1"/>
  <c r="E1070" i="1" s="1"/>
  <c r="E1071" i="1" a="1"/>
  <c r="E1071" i="1" s="1"/>
  <c r="E1072" i="1" a="1"/>
  <c r="E1072" i="1" s="1"/>
  <c r="E1073" i="1" a="1"/>
  <c r="E1073" i="1" s="1"/>
  <c r="E1074" i="1" a="1"/>
  <c r="E1074" i="1" s="1"/>
  <c r="E1075" i="1" a="1"/>
  <c r="E1075" i="1" s="1"/>
  <c r="E1076" i="1" a="1"/>
  <c r="E1076" i="1" s="1"/>
  <c r="E1077" i="1" a="1"/>
  <c r="E1077" i="1" s="1"/>
  <c r="E1078" i="1" a="1"/>
  <c r="E1078" i="1" s="1"/>
  <c r="E1079" i="1" a="1"/>
  <c r="E1079" i="1" s="1"/>
  <c r="E1080" i="1" a="1"/>
  <c r="E1080" i="1" s="1"/>
  <c r="E1081" i="1" a="1"/>
  <c r="E1081" i="1" s="1"/>
  <c r="E1082" i="1" a="1"/>
  <c r="E1082" i="1" s="1"/>
  <c r="E1083" i="1" a="1"/>
  <c r="E1083" i="1" s="1"/>
  <c r="E1084" i="1" a="1"/>
  <c r="E1084" i="1" s="1"/>
  <c r="E1085" i="1" a="1"/>
  <c r="E1085" i="1" s="1"/>
  <c r="E1086" i="1" a="1"/>
  <c r="E1086" i="1" s="1"/>
  <c r="E1087" i="1" a="1"/>
  <c r="E1087" i="1" s="1"/>
  <c r="E1088" i="1" a="1"/>
  <c r="E1088" i="1" s="1"/>
  <c r="E1089" i="1" a="1"/>
  <c r="E1089" i="1" s="1"/>
  <c r="E1090" i="1" a="1"/>
  <c r="E1090" i="1" s="1"/>
  <c r="E1091" i="1" a="1"/>
  <c r="E1091" i="1" s="1"/>
  <c r="E1092" i="1" a="1"/>
  <c r="E1092" i="1" s="1"/>
  <c r="E1093" i="1" a="1"/>
  <c r="E1093" i="1" s="1"/>
  <c r="E1094" i="1" a="1"/>
  <c r="E1094" i="1" s="1"/>
  <c r="E1095" i="1" a="1"/>
  <c r="E1095" i="1" s="1"/>
  <c r="E1096" i="1" a="1"/>
  <c r="E1096" i="1" s="1"/>
  <c r="E1097" i="1" a="1"/>
  <c r="E1097" i="1" s="1"/>
  <c r="E1098" i="1" a="1"/>
  <c r="E1098" i="1" s="1"/>
  <c r="E1099" i="1" a="1"/>
  <c r="E1099" i="1" s="1"/>
  <c r="E1100" i="1" a="1"/>
  <c r="E1100" i="1" s="1"/>
  <c r="E1101" i="1" a="1"/>
  <c r="E1101" i="1" s="1"/>
  <c r="E1102" i="1" a="1"/>
  <c r="E1102" i="1" s="1"/>
  <c r="E1103" i="1" a="1"/>
  <c r="E1103" i="1" s="1"/>
  <c r="E1104" i="1" a="1"/>
  <c r="E1104" i="1" s="1"/>
  <c r="E1105" i="1" a="1"/>
  <c r="E1105" i="1" s="1"/>
  <c r="E1106" i="1" a="1"/>
  <c r="E1106" i="1" s="1"/>
  <c r="E1107" i="1" a="1"/>
  <c r="E1107" i="1" s="1"/>
  <c r="E1108" i="1" a="1"/>
  <c r="E1108" i="1" s="1"/>
  <c r="E1109" i="1" a="1"/>
  <c r="E1109" i="1" s="1"/>
  <c r="E1110" i="1" a="1"/>
  <c r="E1110" i="1" s="1"/>
  <c r="E1111" i="1" a="1"/>
  <c r="E1111" i="1" s="1"/>
  <c r="E1112" i="1" a="1"/>
  <c r="E1112" i="1" s="1"/>
  <c r="E1113" i="1" a="1"/>
  <c r="E1113" i="1" s="1"/>
  <c r="E1114" i="1" a="1"/>
  <c r="E1114" i="1" s="1"/>
  <c r="E1115" i="1" a="1"/>
  <c r="E1115" i="1" s="1"/>
  <c r="E1116" i="1" a="1"/>
  <c r="E1116" i="1" s="1"/>
  <c r="E1117" i="1" a="1"/>
  <c r="E1117" i="1" s="1"/>
  <c r="E1118" i="1" a="1"/>
  <c r="E1118" i="1" s="1"/>
  <c r="E1119" i="1" a="1"/>
  <c r="E1119" i="1" s="1"/>
  <c r="E1120" i="1" a="1"/>
  <c r="E1120" i="1" s="1"/>
  <c r="E1121" i="1" a="1"/>
  <c r="E1121" i="1" s="1"/>
  <c r="E1122" i="1" a="1"/>
  <c r="E1122" i="1" s="1"/>
  <c r="E1123" i="1" a="1"/>
  <c r="E1123" i="1" s="1"/>
  <c r="E1124" i="1" a="1"/>
  <c r="E1124" i="1" s="1"/>
  <c r="E1125" i="1" a="1"/>
  <c r="E1125" i="1" s="1"/>
  <c r="E1126" i="1" a="1"/>
  <c r="E1126" i="1" s="1"/>
  <c r="E1127" i="1" a="1"/>
  <c r="E1127" i="1" s="1"/>
  <c r="E1128" i="1" a="1"/>
  <c r="E1128" i="1" s="1"/>
  <c r="E1129" i="1" a="1"/>
  <c r="E1129" i="1" s="1"/>
  <c r="E1130" i="1" a="1"/>
  <c r="E1130" i="1" s="1"/>
  <c r="E1131" i="1" a="1"/>
  <c r="E1131" i="1" s="1"/>
  <c r="E1132" i="1" a="1"/>
  <c r="E1132" i="1" s="1"/>
  <c r="E1133" i="1" a="1"/>
  <c r="E1133" i="1" s="1"/>
  <c r="E1134" i="1" a="1"/>
  <c r="E1134" i="1" s="1"/>
  <c r="E1135" i="1" a="1"/>
  <c r="E1135" i="1" s="1"/>
  <c r="E1136" i="1" a="1"/>
  <c r="E1136" i="1" s="1"/>
  <c r="E1137" i="1" a="1"/>
  <c r="E1137" i="1" s="1"/>
  <c r="E1138" i="1" a="1"/>
  <c r="E1138" i="1" s="1"/>
  <c r="E1139" i="1" a="1"/>
  <c r="E1139" i="1" s="1"/>
  <c r="E1140" i="1" a="1"/>
  <c r="E1140" i="1" s="1"/>
  <c r="E1141" i="1" a="1"/>
  <c r="E1141" i="1" s="1"/>
  <c r="E1142" i="1" a="1"/>
  <c r="E1142" i="1" s="1"/>
  <c r="E1143" i="1" a="1"/>
  <c r="E1143" i="1" s="1"/>
  <c r="E1144" i="1" a="1"/>
  <c r="E1144" i="1" s="1"/>
  <c r="E1145" i="1" a="1"/>
  <c r="E1145" i="1" s="1"/>
  <c r="E1146" i="1" a="1"/>
  <c r="E1146" i="1" s="1"/>
  <c r="E1147" i="1" a="1"/>
  <c r="E1147" i="1" s="1"/>
  <c r="E1148" i="1" a="1"/>
  <c r="E1148" i="1" s="1"/>
  <c r="E1149" i="1" a="1"/>
  <c r="E1149" i="1" s="1"/>
  <c r="E1150" i="1" a="1"/>
  <c r="E1150" i="1" s="1"/>
  <c r="E1151" i="1" a="1"/>
  <c r="E1151" i="1" s="1"/>
  <c r="E1152" i="1" a="1"/>
  <c r="E1152" i="1" s="1"/>
  <c r="E1153" i="1" a="1"/>
  <c r="E1153" i="1" s="1"/>
  <c r="E1154" i="1" a="1"/>
  <c r="E1154" i="1" s="1"/>
  <c r="E1155" i="1" a="1"/>
  <c r="E1155" i="1" s="1"/>
  <c r="E1156" i="1" a="1"/>
  <c r="E1156" i="1"/>
  <c r="E1157" i="1" a="1"/>
  <c r="E1157" i="1"/>
  <c r="E1158" i="1" a="1"/>
  <c r="E1158" i="1"/>
  <c r="E1159" i="1" a="1"/>
  <c r="E1159" i="1"/>
  <c r="E1160" i="1" a="1"/>
  <c r="E1160" i="1"/>
  <c r="E1161" i="1" a="1"/>
  <c r="E1161" i="1" s="1"/>
  <c r="E1162" i="1" a="1"/>
  <c r="E1162" i="1"/>
  <c r="E1163" i="1" a="1"/>
  <c r="E1163" i="1" s="1"/>
  <c r="E1164" i="1" a="1"/>
  <c r="E1164" i="1"/>
  <c r="E1165" i="1" a="1"/>
  <c r="E1165" i="1" s="1"/>
  <c r="E1166" i="1" a="1"/>
  <c r="E1166" i="1"/>
  <c r="E1167" i="1" a="1"/>
  <c r="E1167" i="1" s="1"/>
  <c r="E1168" i="1" a="1"/>
  <c r="E1168" i="1"/>
  <c r="E1169" i="1" a="1"/>
  <c r="E1169" i="1" s="1"/>
  <c r="E1170" i="1" a="1"/>
  <c r="E1170" i="1"/>
  <c r="E1171" i="1" a="1"/>
  <c r="E1171" i="1" s="1"/>
  <c r="E1172" i="1" a="1"/>
  <c r="E1172" i="1"/>
  <c r="E1173" i="1" a="1"/>
  <c r="E1173" i="1" s="1"/>
  <c r="E1174" i="1" a="1"/>
  <c r="E1174" i="1"/>
  <c r="E1175" i="1" a="1"/>
  <c r="E1175" i="1" s="1"/>
  <c r="E1176" i="1" a="1"/>
  <c r="E1176" i="1"/>
  <c r="E1177" i="1" a="1"/>
  <c r="E1177" i="1" s="1"/>
  <c r="E1178" i="1" a="1"/>
  <c r="E1178" i="1"/>
  <c r="E1179" i="1" a="1"/>
  <c r="E1179" i="1" s="1"/>
  <c r="E1180" i="1" a="1"/>
  <c r="E1180" i="1"/>
  <c r="E1181" i="1" a="1"/>
  <c r="E1181" i="1" s="1"/>
  <c r="E1182" i="1" a="1"/>
  <c r="E1182" i="1"/>
  <c r="E1183" i="1" a="1"/>
  <c r="E1183" i="1" s="1"/>
  <c r="E1184" i="1" a="1"/>
  <c r="E1184" i="1"/>
  <c r="E1185" i="1" a="1"/>
  <c r="E1185" i="1" s="1"/>
  <c r="E1186" i="1" a="1"/>
  <c r="E1186" i="1"/>
  <c r="E1187" i="1" a="1"/>
  <c r="E1187" i="1" s="1"/>
  <c r="E1188" i="1" a="1"/>
  <c r="E1188" i="1"/>
  <c r="E1189" i="1" a="1"/>
  <c r="E1189" i="1" s="1"/>
  <c r="E1190" i="1" a="1"/>
  <c r="E1190" i="1"/>
  <c r="E1191" i="1" a="1"/>
  <c r="E1191" i="1" s="1"/>
  <c r="E1192" i="1" a="1"/>
  <c r="E1192" i="1"/>
  <c r="E1193" i="1" a="1"/>
  <c r="E1193" i="1" s="1"/>
  <c r="E1194" i="1" a="1"/>
  <c r="E1194" i="1"/>
  <c r="E1195" i="1" a="1"/>
  <c r="E1195" i="1" s="1"/>
  <c r="E1196" i="1" a="1"/>
  <c r="E1196" i="1"/>
  <c r="E1197" i="1" a="1"/>
  <c r="E1197" i="1" s="1"/>
  <c r="E1198" i="1" a="1"/>
  <c r="E1198" i="1"/>
  <c r="E1199" i="1" a="1"/>
  <c r="E1199" i="1" s="1"/>
  <c r="E1200" i="1" a="1"/>
  <c r="E1200" i="1"/>
  <c r="E1201" i="1" a="1"/>
  <c r="E1201" i="1" s="1"/>
  <c r="E1202" i="1" a="1"/>
  <c r="E1202" i="1"/>
  <c r="E1203" i="1" a="1"/>
  <c r="E1203" i="1" s="1"/>
  <c r="E1204" i="1" a="1"/>
  <c r="E1204" i="1"/>
  <c r="E1205" i="1" a="1"/>
  <c r="E1205" i="1" s="1"/>
  <c r="E1206" i="1" a="1"/>
  <c r="E1206" i="1"/>
  <c r="E1207" i="1" a="1"/>
  <c r="E1207" i="1" s="1"/>
  <c r="E1208" i="1" a="1"/>
  <c r="E1208" i="1"/>
  <c r="E1209" i="1" a="1"/>
  <c r="E1209" i="1" s="1"/>
  <c r="E1210" i="1" a="1"/>
  <c r="E1210" i="1"/>
  <c r="E1211" i="1" a="1"/>
  <c r="E1211" i="1" s="1"/>
  <c r="E1212" i="1" a="1"/>
  <c r="E1212" i="1"/>
  <c r="E1213" i="1" a="1"/>
  <c r="E1213" i="1" s="1"/>
  <c r="E1214" i="1" a="1"/>
  <c r="E1214" i="1"/>
  <c r="E1215" i="1" a="1"/>
  <c r="E1215" i="1" s="1"/>
  <c r="E1216" i="1" a="1"/>
  <c r="E1216" i="1"/>
  <c r="E1217" i="1" a="1"/>
  <c r="E1217" i="1" s="1"/>
  <c r="E1218" i="1" a="1"/>
  <c r="E1218" i="1"/>
  <c r="E1219" i="1" a="1"/>
  <c r="E1219" i="1" s="1"/>
  <c r="E1220" i="1" a="1"/>
  <c r="E1220" i="1"/>
  <c r="E1221" i="1" a="1"/>
  <c r="E1221" i="1" s="1"/>
  <c r="E1222" i="1" a="1"/>
  <c r="E1222" i="1"/>
  <c r="E1223" i="1" a="1"/>
  <c r="E1223" i="1" s="1"/>
  <c r="E1224" i="1" a="1"/>
  <c r="E1224" i="1"/>
  <c r="E1225" i="1" a="1"/>
  <c r="E1225" i="1" s="1"/>
  <c r="E1226" i="1" a="1"/>
  <c r="E1226" i="1"/>
  <c r="E1227" i="1" a="1"/>
  <c r="E1227" i="1" s="1"/>
  <c r="E1228" i="1" a="1"/>
  <c r="E1228" i="1"/>
  <c r="E1229" i="1" a="1"/>
  <c r="E1229" i="1" s="1"/>
  <c r="E1230" i="1" a="1"/>
  <c r="E1230" i="1"/>
  <c r="E1231" i="1" a="1"/>
  <c r="E1231" i="1" s="1"/>
  <c r="E1232" i="1" a="1"/>
  <c r="E1232" i="1"/>
  <c r="E1233" i="1" a="1"/>
  <c r="E1233" i="1" s="1"/>
  <c r="E1234" i="1" a="1"/>
  <c r="E1234" i="1"/>
  <c r="E1235" i="1" a="1"/>
  <c r="E1235" i="1" s="1"/>
  <c r="E1236" i="1" a="1"/>
  <c r="E1236" i="1"/>
  <c r="E1237" i="1" a="1"/>
  <c r="E1237" i="1" s="1"/>
  <c r="E1238" i="1" a="1"/>
  <c r="E1238" i="1"/>
  <c r="E1239" i="1" a="1"/>
  <c r="E1239" i="1" s="1"/>
  <c r="E1240" i="1" a="1"/>
  <c r="E1240" i="1"/>
  <c r="E1241" i="1" a="1"/>
  <c r="E1241" i="1" s="1"/>
  <c r="E1242" i="1" a="1"/>
  <c r="E1242" i="1"/>
  <c r="E1243" i="1" a="1"/>
  <c r="E1243" i="1" s="1"/>
  <c r="E1244" i="1" a="1"/>
  <c r="E1244" i="1"/>
  <c r="E1245" i="1" a="1"/>
  <c r="E1245" i="1" s="1"/>
  <c r="E1246" i="1" a="1"/>
  <c r="E1246" i="1"/>
  <c r="E1247" i="1" a="1"/>
  <c r="E1247" i="1" s="1"/>
  <c r="E1248" i="1" a="1"/>
  <c r="E1248" i="1"/>
  <c r="E1249" i="1" a="1"/>
  <c r="E1249" i="1" s="1"/>
  <c r="E1250" i="1" a="1"/>
  <c r="E1250" i="1"/>
  <c r="E1251" i="1" a="1"/>
  <c r="E1251" i="1" s="1"/>
  <c r="E1252" i="1" a="1"/>
  <c r="E1252" i="1"/>
  <c r="E1253" i="1" a="1"/>
  <c r="E1253" i="1" s="1"/>
  <c r="E1254" i="1" a="1"/>
  <c r="E1254" i="1"/>
  <c r="E1255" i="1" a="1"/>
  <c r="E1255" i="1" s="1"/>
  <c r="E1256" i="1" a="1"/>
  <c r="E1256" i="1"/>
  <c r="E1257" i="1" a="1"/>
  <c r="E1257" i="1" s="1"/>
  <c r="E1258" i="1" a="1"/>
  <c r="E1258" i="1"/>
  <c r="E1259" i="1" a="1"/>
  <c r="E1259" i="1" s="1"/>
  <c r="E1260" i="1" a="1"/>
  <c r="E1260" i="1"/>
  <c r="E1261" i="1" a="1"/>
  <c r="E1261" i="1" s="1"/>
  <c r="E1262" i="1" a="1"/>
  <c r="E1262" i="1"/>
  <c r="E1263" i="1" a="1"/>
  <c r="E1263" i="1" s="1"/>
  <c r="E1264" i="1" a="1"/>
  <c r="E1264" i="1"/>
  <c r="E1265" i="1" a="1"/>
  <c r="E1265" i="1" s="1"/>
  <c r="E1266" i="1" a="1"/>
  <c r="E1266" i="1"/>
  <c r="E1267" i="1" a="1"/>
  <c r="E1267" i="1" s="1"/>
  <c r="E1268" i="1" a="1"/>
  <c r="E1268" i="1"/>
  <c r="E1269" i="1" a="1"/>
  <c r="E1269" i="1" s="1"/>
  <c r="E1270" i="1" a="1"/>
  <c r="E1270" i="1"/>
  <c r="E1271" i="1" a="1"/>
  <c r="E1271" i="1" s="1"/>
  <c r="E1272" i="1" a="1"/>
  <c r="E1272" i="1"/>
  <c r="E1273" i="1" a="1"/>
  <c r="E1273" i="1" s="1"/>
  <c r="E1274" i="1" a="1"/>
  <c r="E1274" i="1"/>
  <c r="E1275" i="1" a="1"/>
  <c r="E1275" i="1" s="1"/>
  <c r="E1276" i="1" a="1"/>
  <c r="E1276" i="1"/>
  <c r="E1277" i="1" a="1"/>
  <c r="E1277" i="1" s="1"/>
  <c r="E1278" i="1" a="1"/>
  <c r="E1278" i="1"/>
  <c r="E1279" i="1" a="1"/>
  <c r="E1279" i="1" s="1"/>
  <c r="E1280" i="1" a="1"/>
  <c r="E1280" i="1"/>
  <c r="E1281" i="1" a="1"/>
  <c r="E1281" i="1" s="1"/>
  <c r="E1282" i="1" a="1"/>
  <c r="E1282" i="1"/>
  <c r="E1283" i="1" a="1"/>
  <c r="E1283" i="1" s="1"/>
  <c r="E1284" i="1" a="1"/>
  <c r="E1284" i="1"/>
  <c r="E1285" i="1" a="1"/>
  <c r="E1285" i="1" s="1"/>
  <c r="E1286" i="1" a="1"/>
  <c r="E1286" i="1"/>
  <c r="E1287" i="1" a="1"/>
  <c r="E1287" i="1" s="1"/>
  <c r="E1288" i="1" a="1"/>
  <c r="E1288" i="1"/>
  <c r="E1289" i="1" a="1"/>
  <c r="E1289" i="1" s="1"/>
  <c r="E1290" i="1" a="1"/>
  <c r="E1290" i="1"/>
  <c r="E1291" i="1" a="1"/>
  <c r="E1291" i="1" s="1"/>
  <c r="E1292" i="1" a="1"/>
  <c r="E1292" i="1"/>
  <c r="E1293" i="1" a="1"/>
  <c r="E1293" i="1" s="1"/>
  <c r="E1294" i="1" a="1"/>
  <c r="E1294" i="1"/>
  <c r="E1295" i="1" a="1"/>
  <c r="E1295" i="1" s="1"/>
  <c r="E1296" i="1" a="1"/>
  <c r="E1296" i="1"/>
  <c r="E1297" i="1" a="1"/>
  <c r="E1297" i="1" s="1"/>
  <c r="E1298" i="1" a="1"/>
  <c r="E1298" i="1"/>
  <c r="E1299" i="1" a="1"/>
  <c r="E1299" i="1" s="1"/>
  <c r="E1300" i="1" a="1"/>
  <c r="E1300" i="1"/>
  <c r="E1301" i="1" a="1"/>
  <c r="E1301" i="1" s="1"/>
  <c r="E1302" i="1" a="1"/>
  <c r="E1302" i="1"/>
  <c r="E1303" i="1" a="1"/>
  <c r="E1303" i="1" s="1"/>
  <c r="E1304" i="1" a="1"/>
  <c r="E1304" i="1"/>
  <c r="E1305" i="1" a="1"/>
  <c r="E1305" i="1" s="1"/>
  <c r="E1306" i="1" a="1"/>
  <c r="E1306" i="1"/>
  <c r="E1307" i="1" a="1"/>
  <c r="E1307" i="1" s="1"/>
  <c r="E1308" i="1" a="1"/>
  <c r="E1308" i="1"/>
  <c r="E1309" i="1" a="1"/>
  <c r="E1309" i="1" s="1"/>
  <c r="E1310" i="1" a="1"/>
  <c r="E1310" i="1"/>
  <c r="E1311" i="1" a="1"/>
  <c r="E1311" i="1" s="1"/>
  <c r="E1312" i="1" a="1"/>
  <c r="E1312" i="1"/>
  <c r="E1313" i="1" a="1"/>
  <c r="E1313" i="1" s="1"/>
  <c r="E1314" i="1" a="1"/>
  <c r="E1314" i="1"/>
  <c r="E1315" i="1" a="1"/>
  <c r="E1315" i="1" s="1"/>
  <c r="E1316" i="1" a="1"/>
  <c r="E1316" i="1"/>
  <c r="E1317" i="1" a="1"/>
  <c r="E1317" i="1" s="1"/>
  <c r="E1318" i="1" a="1"/>
  <c r="E1318" i="1"/>
  <c r="E1319" i="1" a="1"/>
  <c r="E1319" i="1" s="1"/>
  <c r="E1320" i="1" a="1"/>
  <c r="E1320" i="1"/>
  <c r="E1321" i="1" a="1"/>
  <c r="E1321" i="1" s="1"/>
  <c r="E1322" i="1" a="1"/>
  <c r="E1322" i="1"/>
  <c r="E1323" i="1" a="1"/>
  <c r="E1323" i="1" s="1"/>
  <c r="E1324" i="1" a="1"/>
  <c r="E1324" i="1"/>
  <c r="E1325" i="1" a="1"/>
  <c r="E1325" i="1" s="1"/>
  <c r="E1326" i="1" a="1"/>
  <c r="E1326" i="1"/>
  <c r="E1327" i="1" a="1"/>
  <c r="E1327" i="1" s="1"/>
  <c r="E1328" i="1" a="1"/>
  <c r="E1328" i="1"/>
  <c r="E1329" i="1" a="1"/>
  <c r="E1329" i="1" s="1"/>
  <c r="E1330" i="1" a="1"/>
  <c r="E1330" i="1"/>
  <c r="E1331" i="1" a="1"/>
  <c r="E1331" i="1" s="1"/>
  <c r="E1332" i="1" a="1"/>
  <c r="E1332" i="1"/>
  <c r="E1333" i="1" a="1"/>
  <c r="E1333" i="1" s="1"/>
  <c r="E1334" i="1" a="1"/>
  <c r="E1334" i="1"/>
  <c r="E1335" i="1" a="1"/>
  <c r="E1335" i="1" s="1"/>
  <c r="E1336" i="1" a="1"/>
  <c r="E1336" i="1"/>
  <c r="E1337" i="1" a="1"/>
  <c r="E1337" i="1" s="1"/>
  <c r="E1338" i="1" a="1"/>
  <c r="E1338" i="1"/>
  <c r="E1339" i="1" a="1"/>
  <c r="E1339" i="1" s="1"/>
  <c r="E1340" i="1" a="1"/>
  <c r="E1340" i="1"/>
  <c r="E1341" i="1" a="1"/>
  <c r="E1341" i="1" s="1"/>
  <c r="E1342" i="1" a="1"/>
  <c r="E1342" i="1"/>
  <c r="E1343" i="1" a="1"/>
  <c r="E1343" i="1" s="1"/>
  <c r="E1344" i="1" a="1"/>
  <c r="E1344" i="1"/>
  <c r="E1345" i="1" a="1"/>
  <c r="E1345" i="1" s="1"/>
  <c r="E1346" i="1" a="1"/>
  <c r="E1346" i="1"/>
  <c r="E1347" i="1" a="1"/>
  <c r="E1347" i="1" s="1"/>
  <c r="E1348" i="1" a="1"/>
  <c r="E1348" i="1"/>
  <c r="E1349" i="1" a="1"/>
  <c r="E1349" i="1" s="1"/>
  <c r="E1350" i="1" a="1"/>
  <c r="E1350" i="1"/>
  <c r="E1351" i="1" a="1"/>
  <c r="E1351" i="1" s="1"/>
  <c r="E1352" i="1" a="1"/>
  <c r="E1352" i="1"/>
  <c r="E1353" i="1" a="1"/>
  <c r="E1353" i="1" s="1"/>
  <c r="E1354" i="1" a="1"/>
  <c r="E1354" i="1"/>
  <c r="E1355" i="1" a="1"/>
  <c r="E1355" i="1" s="1"/>
  <c r="E1356" i="1" a="1"/>
  <c r="E1356" i="1"/>
  <c r="E1357" i="1" a="1"/>
  <c r="E1357" i="1" s="1"/>
  <c r="E1358" i="1" a="1"/>
  <c r="E1358" i="1"/>
  <c r="E1359" i="1" a="1"/>
  <c r="E1359" i="1" s="1"/>
  <c r="E1360" i="1" a="1"/>
  <c r="E1360" i="1"/>
  <c r="E1361" i="1" a="1"/>
  <c r="E1361" i="1" s="1"/>
  <c r="E1362" i="1" a="1"/>
  <c r="E1362" i="1"/>
  <c r="E1363" i="1" a="1"/>
  <c r="E1363" i="1" s="1"/>
  <c r="E1364" i="1" a="1"/>
  <c r="E1364" i="1"/>
  <c r="E1365" i="1" a="1"/>
  <c r="E1365" i="1" s="1"/>
  <c r="E1366" i="1" a="1"/>
  <c r="E1366" i="1"/>
  <c r="E1367" i="1" a="1"/>
  <c r="E1367" i="1" s="1"/>
  <c r="E1368" i="1" a="1"/>
  <c r="E1368" i="1"/>
  <c r="E1369" i="1" a="1"/>
  <c r="E1369" i="1" s="1"/>
  <c r="E1370" i="1" a="1"/>
  <c r="E1370" i="1"/>
  <c r="E1371" i="1" a="1"/>
  <c r="E1371" i="1" s="1"/>
  <c r="E1372" i="1" a="1"/>
  <c r="E1372" i="1"/>
  <c r="E1373" i="1" a="1"/>
  <c r="E1373" i="1" s="1"/>
  <c r="E1374" i="1" a="1"/>
  <c r="E1374" i="1"/>
  <c r="E1375" i="1" a="1"/>
  <c r="E1375" i="1" s="1"/>
  <c r="E1376" i="1" a="1"/>
  <c r="E1376" i="1"/>
  <c r="E1377" i="1" a="1"/>
  <c r="E1377" i="1" s="1"/>
  <c r="E1378" i="1" a="1"/>
  <c r="E1378" i="1"/>
  <c r="E1379" i="1" a="1"/>
  <c r="E1379" i="1" s="1"/>
  <c r="E1380" i="1" a="1"/>
  <c r="E1380" i="1"/>
  <c r="E1381" i="1" a="1"/>
  <c r="E1381" i="1" s="1"/>
  <c r="E1382" i="1" a="1"/>
  <c r="E1382" i="1"/>
  <c r="E1383" i="1" a="1"/>
  <c r="E1383" i="1" s="1"/>
  <c r="E1384" i="1" a="1"/>
  <c r="E1384" i="1"/>
  <c r="E1385" i="1" a="1"/>
  <c r="E1385" i="1" s="1"/>
  <c r="E1386" i="1" a="1"/>
  <c r="E1386" i="1"/>
  <c r="E1387" i="1" a="1"/>
  <c r="E1387" i="1" s="1"/>
  <c r="E1388" i="1" a="1"/>
  <c r="E1388" i="1"/>
  <c r="E1389" i="1" a="1"/>
  <c r="E1389" i="1" s="1"/>
  <c r="E1390" i="1" a="1"/>
  <c r="E1390" i="1"/>
  <c r="E1391" i="1" a="1"/>
  <c r="E1391" i="1" s="1"/>
  <c r="E1392" i="1" a="1"/>
  <c r="E1392" i="1"/>
  <c r="E1393" i="1" a="1"/>
  <c r="E1393" i="1" s="1"/>
  <c r="E1394" i="1" a="1"/>
  <c r="E1394" i="1"/>
  <c r="E1395" i="1" a="1"/>
  <c r="E1395" i="1" s="1"/>
  <c r="E1396" i="1" a="1"/>
  <c r="E1396" i="1"/>
  <c r="E1397" i="1" a="1"/>
  <c r="E1397" i="1" s="1"/>
  <c r="E1398" i="1" a="1"/>
  <c r="E1398" i="1"/>
  <c r="E1399" i="1" a="1"/>
  <c r="E1399" i="1" s="1"/>
  <c r="E1400" i="1" a="1"/>
  <c r="E1400" i="1"/>
  <c r="E1401" i="1" a="1"/>
  <c r="E1401" i="1" s="1"/>
  <c r="E1402" i="1" a="1"/>
  <c r="E1402" i="1"/>
  <c r="E1403" i="1" a="1"/>
  <c r="E1403" i="1" s="1"/>
  <c r="E1404" i="1" a="1"/>
  <c r="E1404" i="1"/>
  <c r="E1405" i="1" a="1"/>
  <c r="E1405" i="1" s="1"/>
  <c r="E1406" i="1" a="1"/>
  <c r="E1406" i="1"/>
  <c r="E1407" i="1" a="1"/>
  <c r="E1407" i="1" s="1"/>
  <c r="E1408" i="1" a="1"/>
  <c r="E1408" i="1"/>
  <c r="E1409" i="1" a="1"/>
  <c r="E1409" i="1" s="1"/>
  <c r="E1410" i="1" a="1"/>
  <c r="E1410" i="1"/>
  <c r="E1411" i="1" a="1"/>
  <c r="E1411" i="1" s="1"/>
  <c r="E1412" i="1" a="1"/>
  <c r="E1412" i="1"/>
  <c r="E1413" i="1" a="1"/>
  <c r="E1413" i="1" s="1"/>
  <c r="E1414" i="1" a="1"/>
  <c r="E1414" i="1"/>
  <c r="E1415" i="1" a="1"/>
  <c r="E1415" i="1" s="1"/>
  <c r="E1416" i="1" a="1"/>
  <c r="E1416" i="1"/>
  <c r="E1417" i="1" a="1"/>
  <c r="E1417" i="1" s="1"/>
  <c r="E1418" i="1" a="1"/>
  <c r="E1418" i="1"/>
  <c r="E1419" i="1" a="1"/>
  <c r="E1419" i="1" s="1"/>
  <c r="E1420" i="1" a="1"/>
  <c r="E1420" i="1"/>
  <c r="E1421" i="1" a="1"/>
  <c r="E1421" i="1" s="1"/>
  <c r="E1422" i="1" a="1"/>
  <c r="E1422" i="1"/>
  <c r="E1423" i="1" a="1"/>
  <c r="E1423" i="1" s="1"/>
  <c r="E1424" i="1" a="1"/>
  <c r="E1424" i="1"/>
  <c r="E1425" i="1" a="1"/>
  <c r="E1425" i="1" s="1"/>
  <c r="E1426" i="1" a="1"/>
  <c r="E1426" i="1"/>
  <c r="E1427" i="1" a="1"/>
  <c r="E1427" i="1" s="1"/>
  <c r="E1428" i="1" a="1"/>
  <c r="E1428" i="1"/>
  <c r="E1429" i="1" a="1"/>
  <c r="E1429" i="1" s="1"/>
  <c r="E1430" i="1" a="1"/>
  <c r="E1430" i="1"/>
  <c r="E1431" i="1" a="1"/>
  <c r="E1431" i="1" s="1"/>
  <c r="E1432" i="1" a="1"/>
  <c r="E1432" i="1"/>
  <c r="E1433" i="1" a="1"/>
  <c r="E1433" i="1" s="1"/>
  <c r="E1434" i="1" a="1"/>
  <c r="E1434" i="1"/>
  <c r="E1435" i="1" a="1"/>
  <c r="E1435" i="1" s="1"/>
  <c r="E1436" i="1" a="1"/>
  <c r="E1436" i="1"/>
  <c r="E1437" i="1" a="1"/>
  <c r="E1437" i="1" s="1"/>
  <c r="E1438" i="1" a="1"/>
  <c r="E1438" i="1"/>
  <c r="E1439" i="1" a="1"/>
  <c r="E1439" i="1" s="1"/>
  <c r="E1440" i="1" a="1"/>
  <c r="E1440" i="1"/>
  <c r="E1441" i="1" a="1"/>
  <c r="E1441" i="1" s="1"/>
  <c r="E1442" i="1" a="1"/>
  <c r="E1442" i="1"/>
  <c r="E1443" i="1" a="1"/>
  <c r="E1443" i="1" s="1"/>
  <c r="E1444" i="1" a="1"/>
  <c r="E1444" i="1"/>
  <c r="E1445" i="1" a="1"/>
  <c r="E1445" i="1" s="1"/>
  <c r="E1446" i="1" a="1"/>
  <c r="E1446" i="1"/>
  <c r="E1447" i="1" a="1"/>
  <c r="E1447" i="1" s="1"/>
  <c r="E1448" i="1" a="1"/>
  <c r="E1448" i="1"/>
  <c r="E1449" i="1" a="1"/>
  <c r="E1449" i="1" s="1"/>
  <c r="E1450" i="1" a="1"/>
  <c r="E1450" i="1"/>
  <c r="E1451" i="1" a="1"/>
  <c r="E1451" i="1" s="1"/>
  <c r="E1452" i="1" a="1"/>
  <c r="E1452" i="1"/>
  <c r="E1453" i="1" a="1"/>
  <c r="E1453" i="1" s="1"/>
  <c r="E1454" i="1" a="1"/>
  <c r="E1454" i="1"/>
  <c r="E1455" i="1" a="1"/>
  <c r="E1455" i="1" s="1"/>
  <c r="E1456" i="1" a="1"/>
  <c r="E1456" i="1"/>
  <c r="E1457" i="1" a="1"/>
  <c r="E1457" i="1" s="1"/>
  <c r="E1458" i="1" a="1"/>
  <c r="E1458" i="1"/>
  <c r="E1459" i="1" a="1"/>
  <c r="E1459" i="1" s="1"/>
  <c r="E1460" i="1" a="1"/>
  <c r="E1460" i="1"/>
  <c r="E1461" i="1" a="1"/>
  <c r="E1461" i="1" s="1"/>
  <c r="E1462" i="1" a="1"/>
  <c r="E1462" i="1"/>
  <c r="E1463" i="1" a="1"/>
  <c r="E1463" i="1" s="1"/>
  <c r="E1464" i="1" a="1"/>
  <c r="E1464" i="1"/>
  <c r="E1465" i="1" a="1"/>
  <c r="E1465" i="1" s="1"/>
  <c r="E1466" i="1" a="1"/>
  <c r="E1466" i="1"/>
  <c r="E1467" i="1" a="1"/>
  <c r="E1467" i="1" s="1"/>
  <c r="E1468" i="1" a="1"/>
  <c r="E1468" i="1"/>
  <c r="E1469" i="1" a="1"/>
  <c r="E1469" i="1" s="1"/>
  <c r="E1470" i="1" a="1"/>
  <c r="E1470" i="1"/>
  <c r="E1471" i="1" a="1"/>
  <c r="E1471" i="1" s="1"/>
  <c r="E1472" i="1" a="1"/>
  <c r="E1472" i="1"/>
  <c r="E1473" i="1" a="1"/>
  <c r="E1473" i="1" s="1"/>
  <c r="E1474" i="1" a="1"/>
  <c r="E1474" i="1"/>
  <c r="E1475" i="1" a="1"/>
  <c r="E1475" i="1" s="1"/>
  <c r="E1476" i="1" a="1"/>
  <c r="E1476" i="1"/>
  <c r="E1477" i="1" a="1"/>
  <c r="E1477" i="1" s="1"/>
  <c r="E1478" i="1" a="1"/>
  <c r="E1478" i="1"/>
  <c r="E1479" i="1" a="1"/>
  <c r="E1479" i="1" s="1"/>
  <c r="E1480" i="1" a="1"/>
  <c r="E1480" i="1"/>
  <c r="E1481" i="1" a="1"/>
  <c r="E1481" i="1" s="1"/>
  <c r="E1482" i="1" a="1"/>
  <c r="E1482" i="1"/>
  <c r="E1483" i="1" a="1"/>
  <c r="E1483" i="1" s="1"/>
  <c r="E1484" i="1" a="1"/>
  <c r="E1484" i="1"/>
  <c r="E1485" i="1" a="1"/>
  <c r="E1485" i="1" s="1"/>
  <c r="E1486" i="1" a="1"/>
  <c r="E1486" i="1"/>
  <c r="E2" i="1" a="1"/>
  <c r="E2" i="1" s="1"/>
  <c r="C47" i="2"/>
  <c r="C46" i="2"/>
  <c r="C45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C8" i="2"/>
  <c r="C4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C40" i="2"/>
  <c r="C36" i="2"/>
  <c r="C35" i="2"/>
  <c r="C34" i="2"/>
  <c r="C29" i="2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<sst xmlns="http://schemas.openxmlformats.org/spreadsheetml/2006/main" count="10442" uniqueCount="143">
  <si>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</si>
  <si>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</si>
  <si>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</si>
  <si>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</si>
  <si>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</si>
  <si>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</si>
  <si>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</si>
  <si>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</si>
  <si>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</si>
  <si>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</si>
  <si>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</si>
  <si>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</si>
  <si>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</si>
  <si>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</si>
  <si>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</si>
  <si>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</si>
  <si>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</si>
  <si>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</si>
  <si>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</si>
  <si>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</si>
  <si>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</si>
  <si>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</si>
  <si>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</si>
  <si>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</si>
  <si>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</si>
  <si>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</si>
  <si>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</si>
  <si>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</si>
  <si>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</si>
  <si>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</si>
  <si>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</si>
  <si>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</si>
  <si>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</si>
  <si>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</si>
  <si>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</si>
  <si>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</si>
  <si>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</si>
  <si>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</si>
  <si>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</si>
  <si>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</si>
  <si>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</si>
  <si>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</si>
  <si>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</si>
  <si>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</si>
  <si>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</si>
  <si>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</si>
  <si>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</si>
  <si>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</si>
  <si>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</si>
  <si>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</si>
  <si>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</si>
  <si>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</si>
  <si>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</si>
  <si>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</si>
  <si>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</si>
  <si>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</si>
  <si>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</si>
  <si>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</si>
  <si>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</si>
  <si>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</si>
  <si>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</si>
  <si>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</si>
  <si>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</si>
  <si>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</si>
  <si>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</si>
  <si>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</si>
  <si>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</si>
  <si>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</si>
  <si>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</si>
  <si>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</si>
  <si>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</si>
  <si>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</si>
  <si>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</si>
  <si>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</si>
  <si>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</si>
  <si>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</si>
  <si>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</si>
  <si>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</si>
  <si>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</si>
  <si>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</si>
  <si>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</si>
  <si>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</si>
  <si>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</si>
  <si>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</si>
  <si>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</si>
  <si>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</si>
  <si>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</si>
  <si>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</si>
  <si>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</si>
  <si>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</si>
  <si>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</si>
  <si>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</si>
  <si>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</si>
  <si>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</si>
  <si>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</si>
  <si>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</si>
  <si>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</si>
  <si>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</si>
  <si>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</si>
  <si>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</si>
  <si>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</si>
  <si>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</si>
  <si>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</si>
  <si>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</si>
  <si>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</si>
  <si>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</si>
  <si>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</si>
  <si>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</si>
  <si>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</si>
  <si>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</si>
  <si>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</si>
  <si>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</si>
  <si>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</si>
  <si>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</si>
  <si>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</si>
  <si>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</si>
  <si>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</si>
  <si>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</si>
  <si>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</si>
  <si>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</si>
  <si>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</si>
  <si>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</si>
  <si>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</si>
  <si>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</si>
  <si>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</si>
  <si>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</si>
  <si>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</si>
  <si>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</si>
  <si>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</si>
  <si>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</si>
  <si>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</si>
  <si>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</si>
  <si>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</si>
  <si>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</si>
  <si>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</si>
  <si>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b)</t>
  </si>
  <si>
    <t>Total Terminations:</t>
  </si>
  <si>
    <t>Total Voluntary Termination:</t>
  </si>
  <si>
    <t>Voluntary as % of total Termination:</t>
  </si>
  <si>
    <t>G)</t>
  </si>
  <si>
    <t xml:space="preserve"> </t>
  </si>
  <si>
    <t xml:space="preserve">Done </t>
  </si>
  <si>
    <t>a)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</si>
</sst>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9" fontId="0" fillId="0" borderId="4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2" borderId="0" xfId="0" applyNumberFormat="1" applyFill="1" applyAlignment="1">
      <alignment horizontal="center"/>
    </xf>
  </cellXfs>
  <cellStyles count="2">
    <cellStyle name="Normal" xfId="0" builtinId="0"/>
    <cellStyle name="Per cent" xfId="1" builtinId="5"/>
  </cellStyles>
  <dxfs count="19"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05718-1F5C-437A-9E90-145C2D15A0AF}" name="Table1" displayName="Table1" ref="A1:N1486" totalsRowShown="0" headerRowDxfId="18" dataDxfId="16" headerRowBorderDxfId="17" tableBorderDxfId="15" totalsRowBorderDxfId="14">
  <autoFilter ref="A1:N1486" xr:uid="{6D205718-1F5C-437A-9E90-145C2D15A0AF}"/>
  <tableColumns count="14">
    <tableColumn id="1" xr3:uid="{C6981158-0904-4AE1-BC04-49175A3D4ACD}" name="EmployeeID" dataDxfId="13"/>
    <tableColumn id="2" xr3:uid="{FAF8689D-F943-41B4-A3C4-ACFCC36BEED2}" name="hiredate_key" dataDxfId="12"/>
    <tableColumn id="3" xr3:uid="{E9EE39B7-25AD-4860-A6D1-3E5B4E713117}" name="terminationdate_key" dataDxfId="11"/>
    <tableColumn id="4" xr3:uid="{5274CE9E-F630-4769-BF89-D758AAF600F6}" name="length_of_service" dataDxfId="10">
      <calculatedColumnFormula>YEAR(C2)-YEAR(B2)</calculatedColumnFormula>
    </tableColumn>
    <tableColumn id="5" xr3:uid="{87D721BE-EB46-4E5A-A5C8-2A3522A5B500}" name="Emp_PrevSTATUS" dataDxfId="0">
      <calculatedColumnFormula array="1">_xlfn.IFS(
D2&lt;=5,"Newcomer",
D2&lt;=10,"Proficient",
D2&gt;10,"Expert"
)</calculatedColumnFormula>
    </tableColumn>
    <tableColumn id="6" xr3:uid="{12B786F3-F301-4383-B8B5-102A79038894}" name="city_name" dataDxfId="9"/>
    <tableColumn id="7" xr3:uid="{BD4528BB-F753-40D2-9FA2-190E3C65E65A}" name="department_name" dataDxfId="8"/>
    <tableColumn id="8" xr3:uid="{ED363A7B-92E3-4240-9CDE-9F7D4006DD02}" name="job_title" dataDxfId="7"/>
    <tableColumn id="9" xr3:uid="{880B8CD1-5497-465C-8398-3C71F1DE2FFD}" name="store_name" dataDxfId="6"/>
    <tableColumn id="10" xr3:uid="{B64A0694-52D9-4628-8405-2A392DBEEA69}" name="gender_short" dataDxfId="5"/>
    <tableColumn id="11" xr3:uid="{3CDA6AB9-AB5B-43C2-9994-8EE9B83368EF}" name="gender_full" dataDxfId="4"/>
    <tableColumn id="12" xr3:uid="{5E222147-9DB5-411D-8BBA-429303B816AB}" name="termreason_desc" dataDxfId="3"/>
    <tableColumn id="13" xr3:uid="{9AEF369A-63DB-4505-B219-74D51774BD10}" name="termtype_desc" dataDxfId="2">
      <calculatedColumnFormula>IF(OR(L2="Retirement",L2="Resignation"),"Voluntary","Involuntary")</calculatedColumnFormula>
    </tableColumn>
    <tableColumn id="14" xr3:uid="{3569CC96-469E-48C8-8DBD-112653A241BD}" name="BUSINESS_UNI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workbookViewId="0">
      <selection activeCell="E9" sqref="E9"/>
    </sheetView>
  </sheetViews>
  <sheetFormatPr defaultRowHeight="15" x14ac:dyDescent="0.25"/>
  <cols>
    <col min="1" max="1" width="13.85546875" style="6" customWidth="1"/>
    <col min="2" max="2" width="14.85546875" customWidth="1"/>
    <col min="3" max="3" width="21.85546875" customWidth="1"/>
    <col min="4" max="4" width="19" customWidth="1"/>
    <col min="5" max="5" width="18.7109375" customWidth="1"/>
    <col min="6" max="6" width="17.85546875" bestFit="1" customWidth="1"/>
    <col min="7" max="7" width="22.5703125" style="7" bestFit="1" customWidth="1"/>
    <col min="8" max="8" width="27.85546875" style="7" bestFit="1" customWidth="1"/>
    <col min="9" max="9" width="13.7109375" customWidth="1"/>
    <col min="10" max="10" width="15" customWidth="1"/>
    <col min="11" max="11" width="13.42578125" customWidth="1"/>
    <col min="12" max="12" width="18.42578125" customWidth="1"/>
    <col min="13" max="13" width="16.42578125" customWidth="1"/>
    <col min="14" max="14" width="17.140625" customWidth="1"/>
    <col min="15" max="15" width="17" customWidth="1"/>
    <col min="18" max="18" width="12" bestFit="1" customWidth="1"/>
  </cols>
  <sheetData>
    <row r="1" spans="1:14" s="1" customFormat="1" ht="22.5" customHeigh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6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6" t="s">
        <v>12</v>
      </c>
      <c r="N1" s="27" t="s">
        <v>13</v>
      </c>
    </row>
    <row r="2" spans="1:14" x14ac:dyDescent="0.25">
      <c r="A2" s="22">
        <v>1338</v>
      </c>
      <c r="B2" s="3">
        <v>39288</v>
      </c>
      <c r="C2" s="3">
        <v>43849</v>
      </c>
      <c r="D2" s="2">
        <f>YEAR(C2)-YEAR(B2)</f>
        <v>13</v>
      </c>
      <c r="E2" s="4" t="str" cm="1">
        <f t="array" ref="E2">_xlfn.IFS(
D2&lt;=5,"Newcomer",
D2&lt;=10,"Proficient",
D2&gt;10,"Expert"
)</f>
        <v>Expert</v>
      </c>
      <c r="F2" s="2" t="s">
        <v>14</v>
      </c>
      <c r="G2" s="5" t="s">
        <v>15</v>
      </c>
      <c r="H2" s="5" t="s">
        <v>16</v>
      </c>
      <c r="I2" s="2">
        <v>35</v>
      </c>
      <c r="J2" s="2" t="s">
        <v>17</v>
      </c>
      <c r="K2" s="2" t="s">
        <v>18</v>
      </c>
      <c r="L2" s="2" t="s">
        <v>19</v>
      </c>
      <c r="M2" s="4" t="str">
        <f>IF(OR(L2="Retirement",L2="Resignation"),"Voluntary","Involuntary")</f>
        <v>Voluntary</v>
      </c>
      <c r="N2" s="23" t="s">
        <v>20</v>
      </c>
    </row>
    <row r="3" spans="1:14" x14ac:dyDescent="0.25">
      <c r="A3" s="22">
        <v>1339</v>
      </c>
      <c r="B3" s="3">
        <v>34051</v>
      </c>
      <c r="C3" s="3">
        <v>44078</v>
      </c>
      <c r="D3" s="2">
        <f t="shared" ref="D3:D66" si="0">YEAR(C3)-YEAR(B3)</f>
        <v>27</v>
      </c>
      <c r="E3" s="4" t="str" cm="1">
        <f t="array" ref="E3">_xlfn.IFS(
D3&lt;=5,"Newcomer",
D3&lt;=10,"Proficient",
D3&gt;10,"Expert"
)</f>
        <v>Expert</v>
      </c>
      <c r="F3" s="2" t="s">
        <v>21</v>
      </c>
      <c r="G3" s="5" t="s">
        <v>22</v>
      </c>
      <c r="H3" s="5" t="s">
        <v>23</v>
      </c>
      <c r="I3" s="2">
        <v>19</v>
      </c>
      <c r="J3" s="2" t="s">
        <v>24</v>
      </c>
      <c r="K3" s="2" t="s">
        <v>25</v>
      </c>
      <c r="L3" s="2" t="s">
        <v>19</v>
      </c>
      <c r="M3" s="4" t="str">
        <f t="shared" ref="M3:M65" si="1">IF(OR(L3="Retirement",L3="Resignation"),"Voluntary","Involuntary")</f>
        <v>Voluntary</v>
      </c>
      <c r="N3" s="23" t="s">
        <v>26</v>
      </c>
    </row>
    <row r="4" spans="1:14" x14ac:dyDescent="0.25">
      <c r="A4" s="22">
        <v>1340</v>
      </c>
      <c r="B4" s="3">
        <v>35551</v>
      </c>
      <c r="C4" s="3">
        <v>44088</v>
      </c>
      <c r="D4" s="2">
        <f t="shared" si="0"/>
        <v>23</v>
      </c>
      <c r="E4" s="4" t="str" cm="1">
        <f t="array" ref="E4">_xlfn.IFS(
D4&lt;=5,"Newcomer",
D4&lt;=10,"Proficient",
D4&gt;10,"Expert"
)</f>
        <v>Expert</v>
      </c>
      <c r="F4" s="2" t="s">
        <v>27</v>
      </c>
      <c r="G4" s="5" t="s">
        <v>22</v>
      </c>
      <c r="H4" s="5" t="s">
        <v>23</v>
      </c>
      <c r="I4" s="2">
        <v>16</v>
      </c>
      <c r="J4" s="2" t="s">
        <v>17</v>
      </c>
      <c r="K4" s="2" t="s">
        <v>18</v>
      </c>
      <c r="L4" s="2" t="s">
        <v>19</v>
      </c>
      <c r="M4" s="4" t="str">
        <f t="shared" si="1"/>
        <v>Voluntary</v>
      </c>
      <c r="N4" s="23" t="s">
        <v>26</v>
      </c>
    </row>
    <row r="5" spans="1:14" x14ac:dyDescent="0.25">
      <c r="A5" s="22">
        <v>1341</v>
      </c>
      <c r="B5" s="3">
        <v>38964</v>
      </c>
      <c r="C5" s="3">
        <v>43982</v>
      </c>
      <c r="D5" s="2">
        <f t="shared" si="0"/>
        <v>14</v>
      </c>
      <c r="E5" s="4" t="str" cm="1">
        <f t="array" ref="E5">_xlfn.IFS(
D5&lt;=5,"Newcomer",
D5&lt;=10,"Proficient",
D5&gt;10,"Expert"
)</f>
        <v>Expert</v>
      </c>
      <c r="F5" s="2" t="s">
        <v>14</v>
      </c>
      <c r="G5" s="5" t="s">
        <v>28</v>
      </c>
      <c r="H5" s="5" t="s">
        <v>29</v>
      </c>
      <c r="I5" s="2">
        <v>35</v>
      </c>
      <c r="J5" s="2" t="s">
        <v>17</v>
      </c>
      <c r="K5" s="2" t="s">
        <v>18</v>
      </c>
      <c r="L5" s="2" t="s">
        <v>19</v>
      </c>
      <c r="M5" s="4" t="str">
        <f t="shared" si="1"/>
        <v>Voluntary</v>
      </c>
      <c r="N5" s="23" t="s">
        <v>20</v>
      </c>
    </row>
    <row r="6" spans="1:14" x14ac:dyDescent="0.25">
      <c r="A6" s="22">
        <v>1343</v>
      </c>
      <c r="B6" s="3">
        <v>37303</v>
      </c>
      <c r="C6" s="3">
        <v>44141</v>
      </c>
      <c r="D6" s="2">
        <f t="shared" si="0"/>
        <v>18</v>
      </c>
      <c r="E6" s="4" t="str" cm="1">
        <f t="array" ref="E6">_xlfn.IFS(
D6&lt;=5,"Newcomer",
D6&lt;=10,"Proficient",
D6&gt;10,"Expert"
)</f>
        <v>Expert</v>
      </c>
      <c r="F6" s="2" t="s">
        <v>30</v>
      </c>
      <c r="G6" s="5" t="s">
        <v>22</v>
      </c>
      <c r="H6" s="5" t="s">
        <v>23</v>
      </c>
      <c r="I6" s="2">
        <v>37</v>
      </c>
      <c r="J6" s="2" t="s">
        <v>24</v>
      </c>
      <c r="K6" s="2" t="s">
        <v>25</v>
      </c>
      <c r="L6" s="2" t="s">
        <v>19</v>
      </c>
      <c r="M6" s="4" t="str">
        <f t="shared" si="1"/>
        <v>Voluntary</v>
      </c>
      <c r="N6" s="23" t="s">
        <v>26</v>
      </c>
    </row>
    <row r="7" spans="1:14" x14ac:dyDescent="0.25">
      <c r="A7" s="22">
        <v>1344</v>
      </c>
      <c r="B7" s="3">
        <v>39927</v>
      </c>
      <c r="C7" s="3">
        <v>44101</v>
      </c>
      <c r="D7" s="2">
        <f t="shared" si="0"/>
        <v>11</v>
      </c>
      <c r="E7" s="4" t="str" cm="1">
        <f t="array" ref="E7">_xlfn.IFS(
D7&lt;=5,"Newcomer",
D7&lt;=10,"Proficient",
D7&gt;10,"Expert"
)</f>
        <v>Expert</v>
      </c>
      <c r="F7" s="2" t="s">
        <v>14</v>
      </c>
      <c r="G7" s="5" t="s">
        <v>31</v>
      </c>
      <c r="H7" s="5" t="s">
        <v>32</v>
      </c>
      <c r="I7" s="2">
        <v>35</v>
      </c>
      <c r="J7" s="2" t="s">
        <v>24</v>
      </c>
      <c r="K7" s="2" t="s">
        <v>25</v>
      </c>
      <c r="L7" s="2" t="s">
        <v>19</v>
      </c>
      <c r="M7" s="4" t="str">
        <f t="shared" si="1"/>
        <v>Voluntary</v>
      </c>
      <c r="N7" s="23" t="s">
        <v>20</v>
      </c>
    </row>
    <row r="8" spans="1:14" x14ac:dyDescent="0.25">
      <c r="A8" s="22">
        <v>1346</v>
      </c>
      <c r="B8" s="3">
        <v>36454</v>
      </c>
      <c r="C8" s="3">
        <v>44035</v>
      </c>
      <c r="D8" s="2">
        <f t="shared" si="0"/>
        <v>21</v>
      </c>
      <c r="E8" s="4" t="str" cm="1">
        <f t="array" ref="E8">_xlfn.IFS(
D8&lt;=5,"Newcomer",
D8&lt;=10,"Proficient",
D8&gt;10,"Expert"
)</f>
        <v>Expert</v>
      </c>
      <c r="F8" s="2" t="s">
        <v>14</v>
      </c>
      <c r="G8" s="5" t="s">
        <v>33</v>
      </c>
      <c r="H8" s="5" t="s">
        <v>34</v>
      </c>
      <c r="I8" s="2">
        <v>35</v>
      </c>
      <c r="J8" s="2" t="s">
        <v>24</v>
      </c>
      <c r="K8" s="2" t="s">
        <v>25</v>
      </c>
      <c r="L8" s="2" t="s">
        <v>19</v>
      </c>
      <c r="M8" s="4" t="str">
        <f t="shared" si="1"/>
        <v>Voluntary</v>
      </c>
      <c r="N8" s="23" t="s">
        <v>20</v>
      </c>
    </row>
    <row r="9" spans="1:14" x14ac:dyDescent="0.25">
      <c r="A9" s="22">
        <v>1347</v>
      </c>
      <c r="B9" s="3">
        <v>34772</v>
      </c>
      <c r="C9" s="3">
        <v>43916</v>
      </c>
      <c r="D9" s="2">
        <f t="shared" si="0"/>
        <v>25</v>
      </c>
      <c r="E9" s="4" t="str" cm="1">
        <f t="array" ref="E9">_xlfn.IFS(
D9&lt;=5,"Newcomer",
D9&lt;=10,"Proficient",
D9&gt;10,"Expert"
)</f>
        <v>Expert</v>
      </c>
      <c r="F9" s="2" t="s">
        <v>30</v>
      </c>
      <c r="G9" s="5" t="s">
        <v>35</v>
      </c>
      <c r="H9" s="5" t="s">
        <v>36</v>
      </c>
      <c r="I9" s="2">
        <v>37</v>
      </c>
      <c r="J9" s="2" t="s">
        <v>17</v>
      </c>
      <c r="K9" s="2" t="s">
        <v>18</v>
      </c>
      <c r="L9" s="2" t="s">
        <v>19</v>
      </c>
      <c r="M9" s="4" t="str">
        <f t="shared" si="1"/>
        <v>Voluntary</v>
      </c>
      <c r="N9" s="23" t="s">
        <v>26</v>
      </c>
    </row>
    <row r="10" spans="1:14" x14ac:dyDescent="0.25">
      <c r="A10" s="22">
        <v>1351</v>
      </c>
      <c r="B10" s="3">
        <v>38157</v>
      </c>
      <c r="C10" s="3">
        <v>43930</v>
      </c>
      <c r="D10" s="2">
        <f t="shared" si="0"/>
        <v>16</v>
      </c>
      <c r="E10" s="4" t="str" cm="1">
        <f t="array" ref="E10">_xlfn.IFS(
D10&lt;=5,"Newcomer",
D10&lt;=10,"Proficient",
D10&gt;10,"Expert"
)</f>
        <v>Expert</v>
      </c>
      <c r="F10" s="2" t="s">
        <v>14</v>
      </c>
      <c r="G10" s="5" t="s">
        <v>37</v>
      </c>
      <c r="H10" s="5" t="s">
        <v>38</v>
      </c>
      <c r="I10" s="2">
        <v>35</v>
      </c>
      <c r="J10" s="2" t="s">
        <v>17</v>
      </c>
      <c r="K10" s="2" t="s">
        <v>18</v>
      </c>
      <c r="L10" s="2" t="s">
        <v>19</v>
      </c>
      <c r="M10" s="4" t="str">
        <f t="shared" si="1"/>
        <v>Voluntary</v>
      </c>
      <c r="N10" s="23" t="s">
        <v>20</v>
      </c>
    </row>
    <row r="11" spans="1:14" x14ac:dyDescent="0.25">
      <c r="A11" s="22">
        <v>1352</v>
      </c>
      <c r="B11" s="3">
        <v>37583</v>
      </c>
      <c r="C11" s="3">
        <v>43886</v>
      </c>
      <c r="D11" s="2">
        <f t="shared" si="0"/>
        <v>18</v>
      </c>
      <c r="E11" s="4" t="str" cm="1">
        <f t="array" ref="E11">_xlfn.IFS(
D11&lt;=5,"Newcomer",
D11&lt;=10,"Proficient",
D11&gt;10,"Expert"
)</f>
        <v>Expert</v>
      </c>
      <c r="F11" s="2" t="s">
        <v>14</v>
      </c>
      <c r="G11" s="5" t="s">
        <v>39</v>
      </c>
      <c r="H11" s="5" t="s">
        <v>40</v>
      </c>
      <c r="I11" s="2">
        <v>35</v>
      </c>
      <c r="J11" s="2" t="s">
        <v>24</v>
      </c>
      <c r="K11" s="2" t="s">
        <v>25</v>
      </c>
      <c r="L11" s="2" t="s">
        <v>19</v>
      </c>
      <c r="M11" s="4" t="str">
        <f t="shared" si="1"/>
        <v>Voluntary</v>
      </c>
      <c r="N11" s="23" t="s">
        <v>20</v>
      </c>
    </row>
    <row r="12" spans="1:14" x14ac:dyDescent="0.25">
      <c r="A12" s="22">
        <v>1353</v>
      </c>
      <c r="B12" s="3">
        <v>35360</v>
      </c>
      <c r="C12" s="3">
        <v>43973</v>
      </c>
      <c r="D12" s="2">
        <f t="shared" si="0"/>
        <v>24</v>
      </c>
      <c r="E12" s="4" t="str" cm="1">
        <f t="array" ref="E12">_xlfn.IFS(
D12&lt;=5,"Newcomer",
D12&lt;=10,"Proficient",
D12&gt;10,"Expert"
)</f>
        <v>Expert</v>
      </c>
      <c r="F12" s="2" t="s">
        <v>41</v>
      </c>
      <c r="G12" s="5" t="s">
        <v>22</v>
      </c>
      <c r="H12" s="5" t="s">
        <v>23</v>
      </c>
      <c r="I12" s="2">
        <v>15</v>
      </c>
      <c r="J12" s="2" t="s">
        <v>17</v>
      </c>
      <c r="K12" s="2" t="s">
        <v>18</v>
      </c>
      <c r="L12" s="2" t="s">
        <v>19</v>
      </c>
      <c r="M12" s="4" t="str">
        <f t="shared" si="1"/>
        <v>Voluntary</v>
      </c>
      <c r="N12" s="23" t="s">
        <v>26</v>
      </c>
    </row>
    <row r="13" spans="1:14" x14ac:dyDescent="0.25">
      <c r="A13" s="22">
        <v>1355</v>
      </c>
      <c r="B13" s="3">
        <v>41906</v>
      </c>
      <c r="C13" s="3">
        <v>44187</v>
      </c>
      <c r="D13" s="2">
        <f t="shared" si="0"/>
        <v>6</v>
      </c>
      <c r="E13" s="4" t="str" cm="1">
        <f t="array" ref="E13">_xlfn.IFS(
D13&lt;=5,"Newcomer",
D13&lt;=10,"Proficient",
D13&gt;10,"Expert"
)</f>
        <v>Proficient</v>
      </c>
      <c r="F13" s="2" t="s">
        <v>14</v>
      </c>
      <c r="G13" s="5" t="s">
        <v>39</v>
      </c>
      <c r="H13" s="5" t="s">
        <v>40</v>
      </c>
      <c r="I13" s="2">
        <v>35</v>
      </c>
      <c r="J13" s="2" t="s">
        <v>17</v>
      </c>
      <c r="K13" s="2" t="s">
        <v>18</v>
      </c>
      <c r="L13" s="2" t="s">
        <v>19</v>
      </c>
      <c r="M13" s="4" t="str">
        <f t="shared" si="1"/>
        <v>Voluntary</v>
      </c>
      <c r="N13" s="23" t="s">
        <v>20</v>
      </c>
    </row>
    <row r="14" spans="1:14" x14ac:dyDescent="0.25">
      <c r="A14" s="22">
        <v>1357</v>
      </c>
      <c r="B14" s="3">
        <v>38281</v>
      </c>
      <c r="C14" s="3">
        <v>43905</v>
      </c>
      <c r="D14" s="2">
        <f t="shared" si="0"/>
        <v>16</v>
      </c>
      <c r="E14" s="4" t="str" cm="1">
        <f t="array" ref="E14">_xlfn.IFS(
D14&lt;=5,"Newcomer",
D14&lt;=10,"Proficient",
D14&gt;10,"Expert"
)</f>
        <v>Expert</v>
      </c>
      <c r="F14" s="2" t="s">
        <v>14</v>
      </c>
      <c r="G14" s="5" t="s">
        <v>39</v>
      </c>
      <c r="H14" s="5" t="s">
        <v>40</v>
      </c>
      <c r="I14" s="2">
        <v>35</v>
      </c>
      <c r="J14" s="2" t="s">
        <v>17</v>
      </c>
      <c r="K14" s="2" t="s">
        <v>18</v>
      </c>
      <c r="L14" s="2" t="s">
        <v>19</v>
      </c>
      <c r="M14" s="4" t="str">
        <f t="shared" si="1"/>
        <v>Voluntary</v>
      </c>
      <c r="N14" s="23" t="s">
        <v>20</v>
      </c>
    </row>
    <row r="15" spans="1:14" x14ac:dyDescent="0.25">
      <c r="A15" s="22">
        <v>1358</v>
      </c>
      <c r="B15" s="3">
        <v>33811</v>
      </c>
      <c r="C15" s="3">
        <v>43900</v>
      </c>
      <c r="D15" s="2">
        <f t="shared" si="0"/>
        <v>28</v>
      </c>
      <c r="E15" s="4" t="str" cm="1">
        <f t="array" ref="E15">_xlfn.IFS(
D15&lt;=5,"Newcomer",
D15&lt;=10,"Proficient",
D15&gt;10,"Expert"
)</f>
        <v>Expert</v>
      </c>
      <c r="F15" s="2" t="s">
        <v>30</v>
      </c>
      <c r="G15" s="5" t="s">
        <v>42</v>
      </c>
      <c r="H15" s="5" t="s">
        <v>43</v>
      </c>
      <c r="I15" s="2">
        <v>37</v>
      </c>
      <c r="J15" s="2" t="s">
        <v>17</v>
      </c>
      <c r="K15" s="2" t="s">
        <v>18</v>
      </c>
      <c r="L15" s="2" t="s">
        <v>19</v>
      </c>
      <c r="M15" s="4" t="str">
        <f t="shared" si="1"/>
        <v>Voluntary</v>
      </c>
      <c r="N15" s="23" t="s">
        <v>26</v>
      </c>
    </row>
    <row r="16" spans="1:14" x14ac:dyDescent="0.25">
      <c r="A16" s="22">
        <v>1359</v>
      </c>
      <c r="B16" s="3">
        <v>36307</v>
      </c>
      <c r="C16" s="3">
        <v>44005</v>
      </c>
      <c r="D16" s="2">
        <f t="shared" si="0"/>
        <v>21</v>
      </c>
      <c r="E16" s="4" t="str" cm="1">
        <f t="array" ref="E16">_xlfn.IFS(
D16&lt;=5,"Newcomer",
D16&lt;=10,"Proficient",
D16&gt;10,"Expert"
)</f>
        <v>Expert</v>
      </c>
      <c r="F16" s="2" t="s">
        <v>44</v>
      </c>
      <c r="G16" s="5" t="s">
        <v>35</v>
      </c>
      <c r="H16" s="5" t="s">
        <v>36</v>
      </c>
      <c r="I16" s="2">
        <v>18</v>
      </c>
      <c r="J16" s="2" t="s">
        <v>24</v>
      </c>
      <c r="K16" s="2" t="s">
        <v>25</v>
      </c>
      <c r="L16" s="2" t="s">
        <v>19</v>
      </c>
      <c r="M16" s="4" t="str">
        <f t="shared" si="1"/>
        <v>Voluntary</v>
      </c>
      <c r="N16" s="23" t="s">
        <v>26</v>
      </c>
    </row>
    <row r="17" spans="1:14" x14ac:dyDescent="0.25">
      <c r="A17" s="22">
        <v>1360</v>
      </c>
      <c r="B17" s="3">
        <v>38817</v>
      </c>
      <c r="C17" s="3">
        <v>43986</v>
      </c>
      <c r="D17" s="2">
        <f t="shared" si="0"/>
        <v>14</v>
      </c>
      <c r="E17" s="4" t="str" cm="1">
        <f t="array" ref="E17">_xlfn.IFS(
D17&lt;=5,"Newcomer",
D17&lt;=10,"Proficient",
D17&gt;10,"Expert"
)</f>
        <v>Expert</v>
      </c>
      <c r="F17" s="2" t="s">
        <v>14</v>
      </c>
      <c r="G17" s="5" t="s">
        <v>45</v>
      </c>
      <c r="H17" s="5" t="s">
        <v>46</v>
      </c>
      <c r="I17" s="2">
        <v>35</v>
      </c>
      <c r="J17" s="2" t="s">
        <v>24</v>
      </c>
      <c r="K17" s="2" t="s">
        <v>25</v>
      </c>
      <c r="L17" s="2" t="s">
        <v>19</v>
      </c>
      <c r="M17" s="4" t="str">
        <f t="shared" si="1"/>
        <v>Voluntary</v>
      </c>
      <c r="N17" s="23" t="s">
        <v>20</v>
      </c>
    </row>
    <row r="18" spans="1:14" x14ac:dyDescent="0.25">
      <c r="A18" s="22">
        <v>1362</v>
      </c>
      <c r="B18" s="3">
        <v>37855</v>
      </c>
      <c r="C18" s="3">
        <v>44029</v>
      </c>
      <c r="D18" s="2">
        <f t="shared" si="0"/>
        <v>17</v>
      </c>
      <c r="E18" s="4" t="str" cm="1">
        <f t="array" ref="E18">_xlfn.IFS(
D18&lt;=5,"Newcomer",
D18&lt;=10,"Proficient",
D18&gt;10,"Expert"
)</f>
        <v>Expert</v>
      </c>
      <c r="F18" s="2" t="s">
        <v>41</v>
      </c>
      <c r="G18" s="5" t="s">
        <v>35</v>
      </c>
      <c r="H18" s="5" t="s">
        <v>36</v>
      </c>
      <c r="I18" s="2">
        <v>15</v>
      </c>
      <c r="J18" s="2" t="s">
        <v>24</v>
      </c>
      <c r="K18" s="2" t="s">
        <v>25</v>
      </c>
      <c r="L18" s="2" t="s">
        <v>19</v>
      </c>
      <c r="M18" s="4" t="str">
        <f t="shared" si="1"/>
        <v>Voluntary</v>
      </c>
      <c r="N18" s="23" t="s">
        <v>26</v>
      </c>
    </row>
    <row r="19" spans="1:14" x14ac:dyDescent="0.25">
      <c r="A19" s="22">
        <v>1363</v>
      </c>
      <c r="B19" s="3">
        <v>42034</v>
      </c>
      <c r="C19" s="3">
        <v>44044</v>
      </c>
      <c r="D19" s="2">
        <f t="shared" si="0"/>
        <v>5</v>
      </c>
      <c r="E19" s="4" t="str" cm="1">
        <f t="array" ref="E19">_xlfn.IFS(
D19&lt;=5,"Newcomer",
D19&lt;=10,"Proficient",
D19&gt;10,"Expert"
)</f>
        <v>Newcomer</v>
      </c>
      <c r="F19" s="2" t="s">
        <v>30</v>
      </c>
      <c r="G19" s="5" t="s">
        <v>47</v>
      </c>
      <c r="H19" s="5" t="s">
        <v>48</v>
      </c>
      <c r="I19" s="2">
        <v>37</v>
      </c>
      <c r="J19" s="2" t="s">
        <v>17</v>
      </c>
      <c r="K19" s="2" t="s">
        <v>18</v>
      </c>
      <c r="L19" s="2" t="s">
        <v>19</v>
      </c>
      <c r="M19" s="4" t="str">
        <f t="shared" si="1"/>
        <v>Voluntary</v>
      </c>
      <c r="N19" s="23" t="s">
        <v>26</v>
      </c>
    </row>
    <row r="20" spans="1:14" x14ac:dyDescent="0.25">
      <c r="A20" s="22">
        <v>1365</v>
      </c>
      <c r="B20" s="3">
        <v>39311</v>
      </c>
      <c r="C20" s="3">
        <v>44071</v>
      </c>
      <c r="D20" s="2">
        <f t="shared" si="0"/>
        <v>13</v>
      </c>
      <c r="E20" s="4" t="str" cm="1">
        <f t="array" ref="E20">_xlfn.IFS(
D20&lt;=5,"Newcomer",
D20&lt;=10,"Proficient",
D20&gt;10,"Expert"
)</f>
        <v>Expert</v>
      </c>
      <c r="F20" s="2" t="s">
        <v>49</v>
      </c>
      <c r="G20" s="5" t="s">
        <v>22</v>
      </c>
      <c r="H20" s="5" t="s">
        <v>23</v>
      </c>
      <c r="I20" s="2">
        <v>12</v>
      </c>
      <c r="J20" s="2" t="s">
        <v>24</v>
      </c>
      <c r="K20" s="2" t="s">
        <v>25</v>
      </c>
      <c r="L20" s="2" t="s">
        <v>50</v>
      </c>
      <c r="M20" s="4" t="str">
        <f t="shared" si="1"/>
        <v>Voluntary</v>
      </c>
      <c r="N20" s="23" t="s">
        <v>26</v>
      </c>
    </row>
    <row r="21" spans="1:14" x14ac:dyDescent="0.25">
      <c r="A21" s="22">
        <v>1366</v>
      </c>
      <c r="B21" s="3">
        <v>35058</v>
      </c>
      <c r="C21" s="3">
        <v>43845</v>
      </c>
      <c r="D21" s="2">
        <f t="shared" si="0"/>
        <v>25</v>
      </c>
      <c r="E21" s="4" t="str" cm="1">
        <f t="array" ref="E21">_xlfn.IFS(
D21&lt;=5,"Newcomer",
D21&lt;=10,"Proficient",
D21&gt;10,"Expert"
)</f>
        <v>Expert</v>
      </c>
      <c r="F21" s="2" t="s">
        <v>14</v>
      </c>
      <c r="G21" s="5" t="s">
        <v>51</v>
      </c>
      <c r="H21" s="5" t="s">
        <v>52</v>
      </c>
      <c r="I21" s="2">
        <v>35</v>
      </c>
      <c r="J21" s="2" t="s">
        <v>17</v>
      </c>
      <c r="K21" s="2" t="s">
        <v>18</v>
      </c>
      <c r="L21" s="2" t="s">
        <v>19</v>
      </c>
      <c r="M21" s="4" t="str">
        <f t="shared" si="1"/>
        <v>Voluntary</v>
      </c>
      <c r="N21" s="23" t="s">
        <v>20</v>
      </c>
    </row>
    <row r="22" spans="1:14" x14ac:dyDescent="0.25">
      <c r="A22" s="22">
        <v>1367</v>
      </c>
      <c r="B22" s="3">
        <v>34514</v>
      </c>
      <c r="C22" s="3">
        <v>44073</v>
      </c>
      <c r="D22" s="2">
        <f t="shared" si="0"/>
        <v>26</v>
      </c>
      <c r="E22" s="4" t="str" cm="1">
        <f t="array" ref="E22">_xlfn.IFS(
D22&lt;=5,"Newcomer",
D22&lt;=10,"Proficient",
D22&gt;10,"Expert"
)</f>
        <v>Expert</v>
      </c>
      <c r="F22" s="2" t="s">
        <v>53</v>
      </c>
      <c r="G22" s="5" t="s">
        <v>22</v>
      </c>
      <c r="H22" s="5" t="s">
        <v>23</v>
      </c>
      <c r="I22" s="2">
        <v>31</v>
      </c>
      <c r="J22" s="2" t="s">
        <v>17</v>
      </c>
      <c r="K22" s="2" t="s">
        <v>18</v>
      </c>
      <c r="L22" s="2" t="s">
        <v>19</v>
      </c>
      <c r="M22" s="4" t="str">
        <f t="shared" si="1"/>
        <v>Voluntary</v>
      </c>
      <c r="N22" s="23" t="s">
        <v>26</v>
      </c>
    </row>
    <row r="23" spans="1:14" x14ac:dyDescent="0.25">
      <c r="A23" s="22">
        <v>1370</v>
      </c>
      <c r="B23" s="3">
        <v>39509</v>
      </c>
      <c r="C23" s="3">
        <v>44093</v>
      </c>
      <c r="D23" s="2">
        <f t="shared" si="0"/>
        <v>12</v>
      </c>
      <c r="E23" s="4" t="str" cm="1">
        <f t="array" ref="E23">_xlfn.IFS(
D23&lt;=5,"Newcomer",
D23&lt;=10,"Proficient",
D23&gt;10,"Expert"
)</f>
        <v>Expert</v>
      </c>
      <c r="F23" s="2" t="s">
        <v>14</v>
      </c>
      <c r="G23" s="5" t="s">
        <v>54</v>
      </c>
      <c r="H23" s="5" t="s">
        <v>55</v>
      </c>
      <c r="I23" s="2">
        <v>35</v>
      </c>
      <c r="J23" s="2" t="s">
        <v>24</v>
      </c>
      <c r="K23" s="2" t="s">
        <v>25</v>
      </c>
      <c r="L23" s="2" t="s">
        <v>19</v>
      </c>
      <c r="M23" s="4" t="str">
        <f t="shared" si="1"/>
        <v>Voluntary</v>
      </c>
      <c r="N23" s="23" t="s">
        <v>20</v>
      </c>
    </row>
    <row r="24" spans="1:14" x14ac:dyDescent="0.25">
      <c r="A24" s="22">
        <v>1372</v>
      </c>
      <c r="B24" s="3">
        <v>39216</v>
      </c>
      <c r="C24" s="3">
        <v>44054</v>
      </c>
      <c r="D24" s="2">
        <f t="shared" si="0"/>
        <v>13</v>
      </c>
      <c r="E24" s="4" t="str" cm="1">
        <f t="array" ref="E24">_xlfn.IFS(
D24&lt;=5,"Newcomer",
D24&lt;=10,"Proficient",
D24&gt;10,"Expert"
)</f>
        <v>Expert</v>
      </c>
      <c r="F24" s="2" t="s">
        <v>14</v>
      </c>
      <c r="G24" s="5" t="s">
        <v>56</v>
      </c>
      <c r="H24" s="5" t="s">
        <v>57</v>
      </c>
      <c r="I24" s="2">
        <v>35</v>
      </c>
      <c r="J24" s="2" t="s">
        <v>17</v>
      </c>
      <c r="K24" s="2" t="s">
        <v>18</v>
      </c>
      <c r="L24" s="2" t="s">
        <v>19</v>
      </c>
      <c r="M24" s="4" t="str">
        <f t="shared" si="1"/>
        <v>Voluntary</v>
      </c>
      <c r="N24" s="23" t="s">
        <v>20</v>
      </c>
    </row>
    <row r="25" spans="1:14" x14ac:dyDescent="0.25">
      <c r="A25" s="22">
        <v>1373</v>
      </c>
      <c r="B25" s="3">
        <v>38912</v>
      </c>
      <c r="C25" s="3">
        <v>43960</v>
      </c>
      <c r="D25" s="2">
        <f t="shared" si="0"/>
        <v>14</v>
      </c>
      <c r="E25" s="4" t="str" cm="1">
        <f t="array" ref="E25">_xlfn.IFS(
D25&lt;=5,"Newcomer",
D25&lt;=10,"Proficient",
D25&gt;10,"Expert"
)</f>
        <v>Expert</v>
      </c>
      <c r="F25" s="2" t="s">
        <v>14</v>
      </c>
      <c r="G25" s="5" t="s">
        <v>58</v>
      </c>
      <c r="H25" s="5" t="s">
        <v>59</v>
      </c>
      <c r="I25" s="2">
        <v>35</v>
      </c>
      <c r="J25" s="2" t="s">
        <v>24</v>
      </c>
      <c r="K25" s="2" t="s">
        <v>25</v>
      </c>
      <c r="L25" s="2" t="s">
        <v>19</v>
      </c>
      <c r="M25" s="4" t="str">
        <f t="shared" si="1"/>
        <v>Voluntary</v>
      </c>
      <c r="N25" s="23" t="s">
        <v>20</v>
      </c>
    </row>
    <row r="26" spans="1:14" x14ac:dyDescent="0.25">
      <c r="A26" s="22">
        <v>1374</v>
      </c>
      <c r="B26" s="3">
        <v>39233</v>
      </c>
      <c r="C26" s="3">
        <v>43941</v>
      </c>
      <c r="D26" s="2">
        <f t="shared" si="0"/>
        <v>13</v>
      </c>
      <c r="E26" s="4" t="str" cm="1">
        <f t="array" ref="E26">_xlfn.IFS(
D26&lt;=5,"Newcomer",
D26&lt;=10,"Proficient",
D26&gt;10,"Expert"
)</f>
        <v>Expert</v>
      </c>
      <c r="F26" s="2" t="s">
        <v>27</v>
      </c>
      <c r="G26" s="5" t="s">
        <v>35</v>
      </c>
      <c r="H26" s="5" t="s">
        <v>36</v>
      </c>
      <c r="I26" s="2">
        <v>16</v>
      </c>
      <c r="J26" s="2" t="s">
        <v>17</v>
      </c>
      <c r="K26" s="2" t="s">
        <v>18</v>
      </c>
      <c r="L26" s="2" t="s">
        <v>19</v>
      </c>
      <c r="M26" s="4" t="str">
        <f t="shared" si="1"/>
        <v>Voluntary</v>
      </c>
      <c r="N26" s="23" t="s">
        <v>26</v>
      </c>
    </row>
    <row r="27" spans="1:14" x14ac:dyDescent="0.25">
      <c r="A27" s="22">
        <v>1376</v>
      </c>
      <c r="B27" s="3">
        <v>33029</v>
      </c>
      <c r="C27" s="3">
        <v>44048</v>
      </c>
      <c r="D27" s="2">
        <f t="shared" si="0"/>
        <v>30</v>
      </c>
      <c r="E27" s="4" t="str" cm="1">
        <f t="array" ref="E27">_xlfn.IFS(
D27&lt;=5,"Newcomer",
D27&lt;=10,"Proficient",
D27&gt;10,"Expert"
)</f>
        <v>Expert</v>
      </c>
      <c r="F27" s="2" t="s">
        <v>14</v>
      </c>
      <c r="G27" s="5" t="s">
        <v>60</v>
      </c>
      <c r="H27" s="5" t="s">
        <v>61</v>
      </c>
      <c r="I27" s="2">
        <v>35</v>
      </c>
      <c r="J27" s="2" t="s">
        <v>17</v>
      </c>
      <c r="K27" s="2" t="s">
        <v>18</v>
      </c>
      <c r="L27" s="2" t="s">
        <v>19</v>
      </c>
      <c r="M27" s="4" t="str">
        <f t="shared" si="1"/>
        <v>Voluntary</v>
      </c>
      <c r="N27" s="23" t="s">
        <v>20</v>
      </c>
    </row>
    <row r="28" spans="1:14" x14ac:dyDescent="0.25">
      <c r="A28" s="22">
        <v>1377</v>
      </c>
      <c r="B28" s="3">
        <v>35138</v>
      </c>
      <c r="C28" s="3">
        <v>43978</v>
      </c>
      <c r="D28" s="2">
        <f t="shared" si="0"/>
        <v>24</v>
      </c>
      <c r="E28" s="4" t="str" cm="1">
        <f t="array" ref="E28">_xlfn.IFS(
D28&lt;=5,"Newcomer",
D28&lt;=10,"Proficient",
D28&gt;10,"Expert"
)</f>
        <v>Expert</v>
      </c>
      <c r="F28" s="2" t="s">
        <v>30</v>
      </c>
      <c r="G28" s="5" t="s">
        <v>62</v>
      </c>
      <c r="H28" s="5" t="s">
        <v>63</v>
      </c>
      <c r="I28" s="2">
        <v>37</v>
      </c>
      <c r="J28" s="2" t="s">
        <v>24</v>
      </c>
      <c r="K28" s="2" t="s">
        <v>25</v>
      </c>
      <c r="L28" s="2" t="s">
        <v>19</v>
      </c>
      <c r="M28" s="4" t="str">
        <f t="shared" si="1"/>
        <v>Voluntary</v>
      </c>
      <c r="N28" s="23" t="s">
        <v>26</v>
      </c>
    </row>
    <row r="29" spans="1:14" x14ac:dyDescent="0.25">
      <c r="A29" s="22">
        <v>1380</v>
      </c>
      <c r="B29" s="3">
        <v>33235</v>
      </c>
      <c r="C29" s="3">
        <v>43921</v>
      </c>
      <c r="D29" s="2">
        <f t="shared" si="0"/>
        <v>30</v>
      </c>
      <c r="E29" s="4" t="str" cm="1">
        <f t="array" ref="E29">_xlfn.IFS(
D29&lt;=5,"Newcomer",
D29&lt;=10,"Proficient",
D29&gt;10,"Expert"
)</f>
        <v>Expert</v>
      </c>
      <c r="F29" s="2" t="s">
        <v>14</v>
      </c>
      <c r="G29" s="5" t="s">
        <v>64</v>
      </c>
      <c r="H29" s="5" t="s">
        <v>65</v>
      </c>
      <c r="I29" s="2">
        <v>35</v>
      </c>
      <c r="J29" s="2" t="s">
        <v>24</v>
      </c>
      <c r="K29" s="2" t="s">
        <v>25</v>
      </c>
      <c r="L29" s="2" t="s">
        <v>19</v>
      </c>
      <c r="M29" s="4" t="str">
        <f t="shared" si="1"/>
        <v>Voluntary</v>
      </c>
      <c r="N29" s="23" t="s">
        <v>20</v>
      </c>
    </row>
    <row r="30" spans="1:14" x14ac:dyDescent="0.25">
      <c r="A30" s="22">
        <v>1381</v>
      </c>
      <c r="B30" s="3">
        <v>38519</v>
      </c>
      <c r="C30" s="3">
        <v>43895</v>
      </c>
      <c r="D30" s="2">
        <f t="shared" si="0"/>
        <v>15</v>
      </c>
      <c r="E30" s="4" t="str" cm="1">
        <f t="array" ref="E30">_xlfn.IFS(
D30&lt;=5,"Newcomer",
D30&lt;=10,"Proficient",
D30&gt;10,"Expert"
)</f>
        <v>Expert</v>
      </c>
      <c r="F30" s="2" t="s">
        <v>14</v>
      </c>
      <c r="G30" s="5" t="s">
        <v>64</v>
      </c>
      <c r="H30" s="5" t="s">
        <v>65</v>
      </c>
      <c r="I30" s="2">
        <v>35</v>
      </c>
      <c r="J30" s="2" t="s">
        <v>24</v>
      </c>
      <c r="K30" s="2" t="s">
        <v>25</v>
      </c>
      <c r="L30" s="2" t="s">
        <v>19</v>
      </c>
      <c r="M30" s="4" t="str">
        <f t="shared" si="1"/>
        <v>Voluntary</v>
      </c>
      <c r="N30" s="23" t="s">
        <v>20</v>
      </c>
    </row>
    <row r="31" spans="1:14" x14ac:dyDescent="0.25">
      <c r="A31" s="22">
        <v>1382</v>
      </c>
      <c r="B31" s="3">
        <v>36554</v>
      </c>
      <c r="C31" s="3">
        <v>43993</v>
      </c>
      <c r="D31" s="2">
        <f t="shared" si="0"/>
        <v>20</v>
      </c>
      <c r="E31" s="4" t="str" cm="1">
        <f t="array" ref="E31">_xlfn.IFS(
D31&lt;=5,"Newcomer",
D31&lt;=10,"Proficient",
D31&gt;10,"Expert"
)</f>
        <v>Expert</v>
      </c>
      <c r="F31" s="2" t="s">
        <v>14</v>
      </c>
      <c r="G31" s="5" t="s">
        <v>64</v>
      </c>
      <c r="H31" s="5" t="s">
        <v>65</v>
      </c>
      <c r="I31" s="2">
        <v>35</v>
      </c>
      <c r="J31" s="2" t="s">
        <v>24</v>
      </c>
      <c r="K31" s="2" t="s">
        <v>25</v>
      </c>
      <c r="L31" s="2" t="s">
        <v>19</v>
      </c>
      <c r="M31" s="4" t="str">
        <f t="shared" si="1"/>
        <v>Voluntary</v>
      </c>
      <c r="N31" s="23" t="s">
        <v>20</v>
      </c>
    </row>
    <row r="32" spans="1:14" x14ac:dyDescent="0.25">
      <c r="A32" s="22">
        <v>1383</v>
      </c>
      <c r="B32" s="3">
        <v>39465</v>
      </c>
      <c r="C32" s="3">
        <v>44066</v>
      </c>
      <c r="D32" s="2">
        <f t="shared" si="0"/>
        <v>12</v>
      </c>
      <c r="E32" s="4" t="str" cm="1">
        <f t="array" ref="E32">_xlfn.IFS(
D32&lt;=5,"Newcomer",
D32&lt;=10,"Proficient",
D32&gt;10,"Expert"
)</f>
        <v>Expert</v>
      </c>
      <c r="F32" s="2" t="s">
        <v>66</v>
      </c>
      <c r="G32" s="5" t="s">
        <v>22</v>
      </c>
      <c r="H32" s="5" t="s">
        <v>23</v>
      </c>
      <c r="I32" s="2">
        <v>36</v>
      </c>
      <c r="J32" s="2" t="s">
        <v>17</v>
      </c>
      <c r="K32" s="2" t="s">
        <v>18</v>
      </c>
      <c r="L32" s="2" t="s">
        <v>19</v>
      </c>
      <c r="M32" s="4" t="str">
        <f t="shared" si="1"/>
        <v>Voluntary</v>
      </c>
      <c r="N32" s="23" t="s">
        <v>26</v>
      </c>
    </row>
    <row r="33" spans="1:14" x14ac:dyDescent="0.25">
      <c r="A33" s="22">
        <v>1385</v>
      </c>
      <c r="B33" s="3">
        <v>34447</v>
      </c>
      <c r="C33" s="3">
        <v>43929</v>
      </c>
      <c r="D33" s="2">
        <f t="shared" si="0"/>
        <v>26</v>
      </c>
      <c r="E33" s="4" t="str" cm="1">
        <f t="array" ref="E33">_xlfn.IFS(
D33&lt;=5,"Newcomer",
D33&lt;=10,"Proficient",
D33&gt;10,"Expert"
)</f>
        <v>Expert</v>
      </c>
      <c r="F33" s="2" t="s">
        <v>14</v>
      </c>
      <c r="G33" s="5" t="s">
        <v>64</v>
      </c>
      <c r="H33" s="5" t="s">
        <v>65</v>
      </c>
      <c r="I33" s="2">
        <v>35</v>
      </c>
      <c r="J33" s="2" t="s">
        <v>17</v>
      </c>
      <c r="K33" s="2" t="s">
        <v>18</v>
      </c>
      <c r="L33" s="2" t="s">
        <v>19</v>
      </c>
      <c r="M33" s="4" t="str">
        <f t="shared" si="1"/>
        <v>Voluntary</v>
      </c>
      <c r="N33" s="23" t="s">
        <v>20</v>
      </c>
    </row>
    <row r="34" spans="1:14" x14ac:dyDescent="0.25">
      <c r="A34" s="22">
        <v>1386</v>
      </c>
      <c r="B34" s="3">
        <v>39509</v>
      </c>
      <c r="C34" s="3">
        <v>43847</v>
      </c>
      <c r="D34" s="2">
        <f t="shared" si="0"/>
        <v>12</v>
      </c>
      <c r="E34" s="4" t="str" cm="1">
        <f t="array" ref="E34">_xlfn.IFS(
D34&lt;=5,"Newcomer",
D34&lt;=10,"Proficient",
D34&gt;10,"Expert"
)</f>
        <v>Expert</v>
      </c>
      <c r="F34" s="2" t="s">
        <v>30</v>
      </c>
      <c r="G34" s="5" t="s">
        <v>67</v>
      </c>
      <c r="H34" s="5" t="s">
        <v>68</v>
      </c>
      <c r="I34" s="2">
        <v>37</v>
      </c>
      <c r="J34" s="2" t="s">
        <v>17</v>
      </c>
      <c r="K34" s="2" t="s">
        <v>18</v>
      </c>
      <c r="L34" s="2" t="s">
        <v>19</v>
      </c>
      <c r="M34" s="4" t="str">
        <f t="shared" si="1"/>
        <v>Voluntary</v>
      </c>
      <c r="N34" s="23" t="s">
        <v>26</v>
      </c>
    </row>
    <row r="35" spans="1:14" x14ac:dyDescent="0.25">
      <c r="A35" s="22">
        <v>1388</v>
      </c>
      <c r="B35" s="3">
        <v>37752</v>
      </c>
      <c r="C35" s="3">
        <v>44053</v>
      </c>
      <c r="D35" s="2">
        <f t="shared" si="0"/>
        <v>17</v>
      </c>
      <c r="E35" s="4" t="str" cm="1">
        <f t="array" ref="E35">_xlfn.IFS(
D35&lt;=5,"Newcomer",
D35&lt;=10,"Proficient",
D35&gt;10,"Expert"
)</f>
        <v>Expert</v>
      </c>
      <c r="F35" s="2" t="s">
        <v>44</v>
      </c>
      <c r="G35" s="5" t="s">
        <v>42</v>
      </c>
      <c r="H35" s="5" t="s">
        <v>43</v>
      </c>
      <c r="I35" s="2">
        <v>18</v>
      </c>
      <c r="J35" s="2" t="s">
        <v>17</v>
      </c>
      <c r="K35" s="2" t="s">
        <v>18</v>
      </c>
      <c r="L35" s="2" t="s">
        <v>19</v>
      </c>
      <c r="M35" s="4" t="str">
        <f t="shared" si="1"/>
        <v>Voluntary</v>
      </c>
      <c r="N35" s="23" t="s">
        <v>26</v>
      </c>
    </row>
    <row r="36" spans="1:14" x14ac:dyDescent="0.25">
      <c r="A36" s="22">
        <v>1389</v>
      </c>
      <c r="B36" s="3">
        <v>36343</v>
      </c>
      <c r="C36" s="3">
        <v>44117</v>
      </c>
      <c r="D36" s="2">
        <f t="shared" si="0"/>
        <v>21</v>
      </c>
      <c r="E36" s="4" t="str" cm="1">
        <f t="array" ref="E36">_xlfn.IFS(
D36&lt;=5,"Newcomer",
D36&lt;=10,"Proficient",
D36&gt;10,"Expert"
)</f>
        <v>Expert</v>
      </c>
      <c r="F36" s="2" t="s">
        <v>69</v>
      </c>
      <c r="G36" s="5" t="s">
        <v>22</v>
      </c>
      <c r="H36" s="5" t="s">
        <v>23</v>
      </c>
      <c r="I36" s="2">
        <v>28</v>
      </c>
      <c r="J36" s="2" t="s">
        <v>17</v>
      </c>
      <c r="K36" s="2" t="s">
        <v>18</v>
      </c>
      <c r="L36" s="2" t="s">
        <v>19</v>
      </c>
      <c r="M36" s="4" t="str">
        <f t="shared" si="1"/>
        <v>Voluntary</v>
      </c>
      <c r="N36" s="23" t="s">
        <v>26</v>
      </c>
    </row>
    <row r="37" spans="1:14" x14ac:dyDescent="0.25">
      <c r="A37" s="22">
        <v>1390</v>
      </c>
      <c r="B37" s="3">
        <v>33873</v>
      </c>
      <c r="C37" s="3">
        <v>44185</v>
      </c>
      <c r="D37" s="2">
        <f t="shared" si="0"/>
        <v>28</v>
      </c>
      <c r="E37" s="4" t="str" cm="1">
        <f t="array" ref="E37">_xlfn.IFS(
D37&lt;=5,"Newcomer",
D37&lt;=10,"Proficient",
D37&gt;10,"Expert"
)</f>
        <v>Expert</v>
      </c>
      <c r="F37" s="2" t="s">
        <v>14</v>
      </c>
      <c r="G37" s="5" t="s">
        <v>64</v>
      </c>
      <c r="H37" s="5" t="s">
        <v>65</v>
      </c>
      <c r="I37" s="2">
        <v>35</v>
      </c>
      <c r="J37" s="2" t="s">
        <v>24</v>
      </c>
      <c r="K37" s="2" t="s">
        <v>25</v>
      </c>
      <c r="L37" s="2" t="s">
        <v>19</v>
      </c>
      <c r="M37" s="4" t="str">
        <f t="shared" si="1"/>
        <v>Voluntary</v>
      </c>
      <c r="N37" s="23" t="s">
        <v>20</v>
      </c>
    </row>
    <row r="38" spans="1:14" x14ac:dyDescent="0.25">
      <c r="A38" s="22">
        <v>1391</v>
      </c>
      <c r="B38" s="3">
        <v>40515</v>
      </c>
      <c r="C38" s="3">
        <v>44089</v>
      </c>
      <c r="D38" s="2">
        <f t="shared" si="0"/>
        <v>10</v>
      </c>
      <c r="E38" s="4" t="str" cm="1">
        <f t="array" ref="E38">_xlfn.IFS(
D38&lt;=5,"Newcomer",
D38&lt;=10,"Proficient",
D38&gt;10,"Expert"
)</f>
        <v>Proficient</v>
      </c>
      <c r="F38" s="2" t="s">
        <v>70</v>
      </c>
      <c r="G38" s="5" t="s">
        <v>22</v>
      </c>
      <c r="H38" s="5" t="s">
        <v>23</v>
      </c>
      <c r="I38" s="2">
        <v>6</v>
      </c>
      <c r="J38" s="2" t="s">
        <v>17</v>
      </c>
      <c r="K38" s="2" t="s">
        <v>18</v>
      </c>
      <c r="L38" s="2" t="s">
        <v>19</v>
      </c>
      <c r="M38" s="4" t="str">
        <f t="shared" si="1"/>
        <v>Voluntary</v>
      </c>
      <c r="N38" s="23" t="s">
        <v>26</v>
      </c>
    </row>
    <row r="39" spans="1:14" x14ac:dyDescent="0.25">
      <c r="A39" s="22">
        <v>1392</v>
      </c>
      <c r="B39" s="3">
        <v>37128</v>
      </c>
      <c r="C39" s="3">
        <v>44076</v>
      </c>
      <c r="D39" s="2">
        <f t="shared" si="0"/>
        <v>19</v>
      </c>
      <c r="E39" s="4" t="str" cm="1">
        <f t="array" ref="E39">_xlfn.IFS(
D39&lt;=5,"Newcomer",
D39&lt;=10,"Proficient",
D39&gt;10,"Expert"
)</f>
        <v>Expert</v>
      </c>
      <c r="F39" s="2" t="s">
        <v>14</v>
      </c>
      <c r="G39" s="5" t="s">
        <v>64</v>
      </c>
      <c r="H39" s="5" t="s">
        <v>65</v>
      </c>
      <c r="I39" s="2">
        <v>35</v>
      </c>
      <c r="J39" s="2" t="s">
        <v>17</v>
      </c>
      <c r="K39" s="2" t="s">
        <v>18</v>
      </c>
      <c r="L39" s="2" t="s">
        <v>19</v>
      </c>
      <c r="M39" s="4" t="str">
        <f t="shared" si="1"/>
        <v>Voluntary</v>
      </c>
      <c r="N39" s="23" t="s">
        <v>20</v>
      </c>
    </row>
    <row r="40" spans="1:14" x14ac:dyDescent="0.25">
      <c r="A40" s="22">
        <v>1394</v>
      </c>
      <c r="B40" s="3">
        <v>33424</v>
      </c>
      <c r="C40" s="3">
        <v>44121</v>
      </c>
      <c r="D40" s="2">
        <f t="shared" si="0"/>
        <v>29</v>
      </c>
      <c r="E40" s="4" t="str" cm="1">
        <f t="array" ref="E40">_xlfn.IFS(
D40&lt;=5,"Newcomer",
D40&lt;=10,"Proficient",
D40&gt;10,"Expert"
)</f>
        <v>Expert</v>
      </c>
      <c r="F40" s="2" t="s">
        <v>30</v>
      </c>
      <c r="G40" s="5" t="s">
        <v>71</v>
      </c>
      <c r="H40" s="5" t="s">
        <v>72</v>
      </c>
      <c r="I40" s="2">
        <v>37</v>
      </c>
      <c r="J40" s="2" t="s">
        <v>24</v>
      </c>
      <c r="K40" s="2" t="s">
        <v>25</v>
      </c>
      <c r="L40" s="2" t="s">
        <v>19</v>
      </c>
      <c r="M40" s="4" t="str">
        <f t="shared" si="1"/>
        <v>Voluntary</v>
      </c>
      <c r="N40" s="23" t="s">
        <v>26</v>
      </c>
    </row>
    <row r="41" spans="1:14" x14ac:dyDescent="0.25">
      <c r="A41" s="22">
        <v>1395</v>
      </c>
      <c r="B41" s="3">
        <v>42131</v>
      </c>
      <c r="C41" s="3">
        <v>43961</v>
      </c>
      <c r="D41" s="2">
        <f t="shared" si="0"/>
        <v>5</v>
      </c>
      <c r="E41" s="4" t="str" cm="1">
        <f t="array" ref="E41">_xlfn.IFS(
D41&lt;=5,"Newcomer",
D41&lt;=10,"Proficient",
D41&gt;10,"Expert"
)</f>
        <v>Newcomer</v>
      </c>
      <c r="F41" s="2" t="s">
        <v>14</v>
      </c>
      <c r="G41" s="5" t="s">
        <v>64</v>
      </c>
      <c r="H41" s="5" t="s">
        <v>65</v>
      </c>
      <c r="I41" s="2">
        <v>35</v>
      </c>
      <c r="J41" s="2" t="s">
        <v>24</v>
      </c>
      <c r="K41" s="2" t="s">
        <v>25</v>
      </c>
      <c r="L41" s="2" t="s">
        <v>19</v>
      </c>
      <c r="M41" s="4" t="str">
        <f t="shared" si="1"/>
        <v>Voluntary</v>
      </c>
      <c r="N41" s="23" t="s">
        <v>20</v>
      </c>
    </row>
    <row r="42" spans="1:14" x14ac:dyDescent="0.25">
      <c r="A42" s="22">
        <v>1396</v>
      </c>
      <c r="B42" s="3">
        <v>41359</v>
      </c>
      <c r="C42" s="3">
        <v>44012</v>
      </c>
      <c r="D42" s="2">
        <f t="shared" si="0"/>
        <v>7</v>
      </c>
      <c r="E42" s="4" t="str" cm="1">
        <f t="array" ref="E42">_xlfn.IFS(
D42&lt;=5,"Newcomer",
D42&lt;=10,"Proficient",
D42&gt;10,"Expert"
)</f>
        <v>Proficient</v>
      </c>
      <c r="F42" s="2" t="s">
        <v>66</v>
      </c>
      <c r="G42" s="5" t="s">
        <v>35</v>
      </c>
      <c r="H42" s="5" t="s">
        <v>36</v>
      </c>
      <c r="I42" s="2">
        <v>36</v>
      </c>
      <c r="J42" s="2" t="s">
        <v>17</v>
      </c>
      <c r="K42" s="2" t="s">
        <v>18</v>
      </c>
      <c r="L42" s="2" t="s">
        <v>19</v>
      </c>
      <c r="M42" s="4" t="str">
        <f t="shared" si="1"/>
        <v>Voluntary</v>
      </c>
      <c r="N42" s="23" t="s">
        <v>26</v>
      </c>
    </row>
    <row r="43" spans="1:14" x14ac:dyDescent="0.25">
      <c r="A43" s="22">
        <v>1397</v>
      </c>
      <c r="B43" s="3">
        <v>39379</v>
      </c>
      <c r="C43" s="3">
        <v>43948</v>
      </c>
      <c r="D43" s="2">
        <f t="shared" si="0"/>
        <v>13</v>
      </c>
      <c r="E43" s="4" t="str" cm="1">
        <f t="array" ref="E43">_xlfn.IFS(
D43&lt;=5,"Newcomer",
D43&lt;=10,"Proficient",
D43&gt;10,"Expert"
)</f>
        <v>Expert</v>
      </c>
      <c r="F43" s="2" t="s">
        <v>69</v>
      </c>
      <c r="G43" s="5" t="s">
        <v>35</v>
      </c>
      <c r="H43" s="5" t="s">
        <v>36</v>
      </c>
      <c r="I43" s="2">
        <v>28</v>
      </c>
      <c r="J43" s="2" t="s">
        <v>24</v>
      </c>
      <c r="K43" s="2" t="s">
        <v>25</v>
      </c>
      <c r="L43" s="2" t="s">
        <v>19</v>
      </c>
      <c r="M43" s="4" t="str">
        <f t="shared" si="1"/>
        <v>Voluntary</v>
      </c>
      <c r="N43" s="23" t="s">
        <v>26</v>
      </c>
    </row>
    <row r="44" spans="1:14" x14ac:dyDescent="0.25">
      <c r="A44" s="22">
        <v>1399</v>
      </c>
      <c r="B44" s="3">
        <v>35850</v>
      </c>
      <c r="C44" s="3">
        <v>44061</v>
      </c>
      <c r="D44" s="2">
        <f t="shared" si="0"/>
        <v>22</v>
      </c>
      <c r="E44" s="4" t="str" cm="1">
        <f t="array" ref="E44">_xlfn.IFS(
D44&lt;=5,"Newcomer",
D44&lt;=10,"Proficient",
D44&gt;10,"Expert"
)</f>
        <v>Expert</v>
      </c>
      <c r="F44" s="2" t="s">
        <v>73</v>
      </c>
      <c r="G44" s="5" t="s">
        <v>42</v>
      </c>
      <c r="H44" s="5" t="s">
        <v>43</v>
      </c>
      <c r="I44" s="2">
        <v>32</v>
      </c>
      <c r="J44" s="2" t="s">
        <v>24</v>
      </c>
      <c r="K44" s="2" t="s">
        <v>25</v>
      </c>
      <c r="L44" s="2" t="s">
        <v>19</v>
      </c>
      <c r="M44" s="4" t="str">
        <f t="shared" si="1"/>
        <v>Voluntary</v>
      </c>
      <c r="N44" s="23" t="s">
        <v>26</v>
      </c>
    </row>
    <row r="45" spans="1:14" x14ac:dyDescent="0.25">
      <c r="A45" s="22">
        <v>1400</v>
      </c>
      <c r="B45" s="3">
        <v>38262</v>
      </c>
      <c r="C45" s="3">
        <v>43968</v>
      </c>
      <c r="D45" s="2">
        <f t="shared" si="0"/>
        <v>16</v>
      </c>
      <c r="E45" s="4" t="str" cm="1">
        <f t="array" ref="E45">_xlfn.IFS(
D45&lt;=5,"Newcomer",
D45&lt;=10,"Proficient",
D45&gt;10,"Expert"
)</f>
        <v>Expert</v>
      </c>
      <c r="F45" s="2" t="s">
        <v>14</v>
      </c>
      <c r="G45" s="5" t="s">
        <v>64</v>
      </c>
      <c r="H45" s="5" t="s">
        <v>65</v>
      </c>
      <c r="I45" s="2">
        <v>35</v>
      </c>
      <c r="J45" s="2" t="s">
        <v>24</v>
      </c>
      <c r="K45" s="2" t="s">
        <v>25</v>
      </c>
      <c r="L45" s="2" t="s">
        <v>19</v>
      </c>
      <c r="M45" s="4" t="str">
        <f t="shared" si="1"/>
        <v>Voluntary</v>
      </c>
      <c r="N45" s="23" t="s">
        <v>20</v>
      </c>
    </row>
    <row r="46" spans="1:14" x14ac:dyDescent="0.25">
      <c r="A46" s="22">
        <v>1401</v>
      </c>
      <c r="B46" s="3">
        <v>38382</v>
      </c>
      <c r="C46" s="3">
        <v>44042</v>
      </c>
      <c r="D46" s="2">
        <f t="shared" si="0"/>
        <v>15</v>
      </c>
      <c r="E46" s="4" t="str" cm="1">
        <f t="array" ref="E46">_xlfn.IFS(
D46&lt;=5,"Newcomer",
D46&lt;=10,"Proficient",
D46&gt;10,"Expert"
)</f>
        <v>Expert</v>
      </c>
      <c r="F46" s="2" t="s">
        <v>74</v>
      </c>
      <c r="G46" s="5" t="s">
        <v>22</v>
      </c>
      <c r="H46" s="5" t="s">
        <v>23</v>
      </c>
      <c r="I46" s="2">
        <v>9</v>
      </c>
      <c r="J46" s="2" t="s">
        <v>24</v>
      </c>
      <c r="K46" s="2" t="s">
        <v>25</v>
      </c>
      <c r="L46" s="2" t="s">
        <v>19</v>
      </c>
      <c r="M46" s="4" t="str">
        <f t="shared" si="1"/>
        <v>Voluntary</v>
      </c>
      <c r="N46" s="23" t="s">
        <v>26</v>
      </c>
    </row>
    <row r="47" spans="1:14" x14ac:dyDescent="0.25">
      <c r="A47" s="22">
        <v>1402</v>
      </c>
      <c r="B47" s="3">
        <v>36699</v>
      </c>
      <c r="C47" s="3">
        <v>43839</v>
      </c>
      <c r="D47" s="2">
        <f t="shared" si="0"/>
        <v>20</v>
      </c>
      <c r="E47" s="4" t="str" cm="1">
        <f t="array" ref="E47">_xlfn.IFS(
D47&lt;=5,"Newcomer",
D47&lt;=10,"Proficient",
D47&gt;10,"Expert"
)</f>
        <v>Expert</v>
      </c>
      <c r="F47" s="2" t="s">
        <v>14</v>
      </c>
      <c r="G47" s="5" t="s">
        <v>15</v>
      </c>
      <c r="H47" s="5" t="s">
        <v>75</v>
      </c>
      <c r="I47" s="2">
        <v>35</v>
      </c>
      <c r="J47" s="2" t="s">
        <v>24</v>
      </c>
      <c r="K47" s="2" t="s">
        <v>25</v>
      </c>
      <c r="L47" s="2" t="s">
        <v>19</v>
      </c>
      <c r="M47" s="4" t="str">
        <f t="shared" si="1"/>
        <v>Voluntary</v>
      </c>
      <c r="N47" s="23" t="s">
        <v>20</v>
      </c>
    </row>
    <row r="48" spans="1:14" x14ac:dyDescent="0.25">
      <c r="A48" s="22">
        <v>1403</v>
      </c>
      <c r="B48" s="3">
        <v>39854</v>
      </c>
      <c r="C48" s="3">
        <v>43910</v>
      </c>
      <c r="D48" s="2">
        <f t="shared" si="0"/>
        <v>11</v>
      </c>
      <c r="E48" s="4" t="str" cm="1">
        <f t="array" ref="E48">_xlfn.IFS(
D48&lt;=5,"Newcomer",
D48&lt;=10,"Proficient",
D48&gt;10,"Expert"
)</f>
        <v>Expert</v>
      </c>
      <c r="F48" s="2" t="s">
        <v>27</v>
      </c>
      <c r="G48" s="5" t="s">
        <v>42</v>
      </c>
      <c r="H48" s="5" t="s">
        <v>43</v>
      </c>
      <c r="I48" s="2">
        <v>16</v>
      </c>
      <c r="J48" s="2" t="s">
        <v>17</v>
      </c>
      <c r="K48" s="2" t="s">
        <v>18</v>
      </c>
      <c r="L48" s="2" t="s">
        <v>19</v>
      </c>
      <c r="M48" s="4" t="str">
        <f t="shared" si="1"/>
        <v>Voluntary</v>
      </c>
      <c r="N48" s="23" t="s">
        <v>26</v>
      </c>
    </row>
    <row r="49" spans="1:14" x14ac:dyDescent="0.25">
      <c r="A49" s="22">
        <v>1404</v>
      </c>
      <c r="B49" s="3">
        <v>33016</v>
      </c>
      <c r="C49" s="3">
        <v>43938</v>
      </c>
      <c r="D49" s="2">
        <f t="shared" si="0"/>
        <v>30</v>
      </c>
      <c r="E49" s="4" t="str" cm="1">
        <f t="array" ref="E49">_xlfn.IFS(
D49&lt;=5,"Newcomer",
D49&lt;=10,"Proficient",
D49&gt;10,"Expert"
)</f>
        <v>Expert</v>
      </c>
      <c r="F49" s="2" t="s">
        <v>14</v>
      </c>
      <c r="G49" s="5" t="s">
        <v>15</v>
      </c>
      <c r="H49" s="5" t="s">
        <v>75</v>
      </c>
      <c r="I49" s="2">
        <v>35</v>
      </c>
      <c r="J49" s="2" t="s">
        <v>24</v>
      </c>
      <c r="K49" s="2" t="s">
        <v>25</v>
      </c>
      <c r="L49" s="2" t="s">
        <v>19</v>
      </c>
      <c r="M49" s="4" t="str">
        <f t="shared" si="1"/>
        <v>Voluntary</v>
      </c>
      <c r="N49" s="23" t="s">
        <v>20</v>
      </c>
    </row>
    <row r="50" spans="1:14" x14ac:dyDescent="0.25">
      <c r="A50" s="22">
        <v>1405</v>
      </c>
      <c r="B50" s="3">
        <v>39679</v>
      </c>
      <c r="C50" s="3">
        <v>44019</v>
      </c>
      <c r="D50" s="2">
        <f t="shared" si="0"/>
        <v>12</v>
      </c>
      <c r="E50" s="4" t="str" cm="1">
        <f t="array" ref="E50">_xlfn.IFS(
D50&lt;=5,"Newcomer",
D50&lt;=10,"Proficient",
D50&gt;10,"Expert"
)</f>
        <v>Expert</v>
      </c>
      <c r="F50" s="2" t="s">
        <v>14</v>
      </c>
      <c r="G50" s="5" t="s">
        <v>15</v>
      </c>
      <c r="H50" s="5" t="s">
        <v>75</v>
      </c>
      <c r="I50" s="2">
        <v>35</v>
      </c>
      <c r="J50" s="2" t="s">
        <v>17</v>
      </c>
      <c r="K50" s="2" t="s">
        <v>18</v>
      </c>
      <c r="L50" s="2" t="s">
        <v>19</v>
      </c>
      <c r="M50" s="4" t="str">
        <f t="shared" si="1"/>
        <v>Voluntary</v>
      </c>
      <c r="N50" s="23" t="s">
        <v>20</v>
      </c>
    </row>
    <row r="51" spans="1:14" x14ac:dyDescent="0.25">
      <c r="A51" s="22">
        <v>1406</v>
      </c>
      <c r="B51" s="3">
        <v>37238</v>
      </c>
      <c r="C51" s="3">
        <v>43915</v>
      </c>
      <c r="D51" s="2">
        <f t="shared" si="0"/>
        <v>19</v>
      </c>
      <c r="E51" s="4" t="str" cm="1">
        <f t="array" ref="E51">_xlfn.IFS(
D51&lt;=5,"Newcomer",
D51&lt;=10,"Proficient",
D51&gt;10,"Expert"
)</f>
        <v>Expert</v>
      </c>
      <c r="F51" s="2" t="s">
        <v>14</v>
      </c>
      <c r="G51" s="5" t="s">
        <v>15</v>
      </c>
      <c r="H51" s="5" t="s">
        <v>75</v>
      </c>
      <c r="I51" s="2">
        <v>35</v>
      </c>
      <c r="J51" s="2" t="s">
        <v>17</v>
      </c>
      <c r="K51" s="2" t="s">
        <v>18</v>
      </c>
      <c r="L51" s="2" t="s">
        <v>19</v>
      </c>
      <c r="M51" s="4" t="str">
        <f t="shared" si="1"/>
        <v>Voluntary</v>
      </c>
      <c r="N51" s="23" t="s">
        <v>20</v>
      </c>
    </row>
    <row r="52" spans="1:14" x14ac:dyDescent="0.25">
      <c r="A52" s="22">
        <v>1408</v>
      </c>
      <c r="B52" s="3">
        <v>41163</v>
      </c>
      <c r="C52" s="3">
        <v>43846</v>
      </c>
      <c r="D52" s="2">
        <f t="shared" si="0"/>
        <v>8</v>
      </c>
      <c r="E52" s="4" t="str" cm="1">
        <f t="array" ref="E52">_xlfn.IFS(
D52&lt;=5,"Newcomer",
D52&lt;=10,"Proficient",
D52&gt;10,"Expert"
)</f>
        <v>Proficient</v>
      </c>
      <c r="F52" s="2" t="s">
        <v>44</v>
      </c>
      <c r="G52" s="5" t="s">
        <v>47</v>
      </c>
      <c r="H52" s="5" t="s">
        <v>48</v>
      </c>
      <c r="I52" s="2">
        <v>18</v>
      </c>
      <c r="J52" s="2" t="s">
        <v>24</v>
      </c>
      <c r="K52" s="2" t="s">
        <v>25</v>
      </c>
      <c r="L52" s="2" t="s">
        <v>19</v>
      </c>
      <c r="M52" s="4" t="str">
        <f t="shared" si="1"/>
        <v>Voluntary</v>
      </c>
      <c r="N52" s="23" t="s">
        <v>26</v>
      </c>
    </row>
    <row r="53" spans="1:14" x14ac:dyDescent="0.25">
      <c r="A53" s="22">
        <v>1409</v>
      </c>
      <c r="B53" s="3">
        <v>37537</v>
      </c>
      <c r="C53" s="3">
        <v>44033</v>
      </c>
      <c r="D53" s="2">
        <f t="shared" si="0"/>
        <v>18</v>
      </c>
      <c r="E53" s="4" t="str" cm="1">
        <f t="array" ref="E53">_xlfn.IFS(
D53&lt;=5,"Newcomer",
D53&lt;=10,"Proficient",
D53&gt;10,"Expert"
)</f>
        <v>Expert</v>
      </c>
      <c r="F53" s="2" t="s">
        <v>14</v>
      </c>
      <c r="G53" s="5" t="s">
        <v>51</v>
      </c>
      <c r="H53" s="5" t="s">
        <v>52</v>
      </c>
      <c r="I53" s="2">
        <v>35</v>
      </c>
      <c r="J53" s="2" t="s">
        <v>17</v>
      </c>
      <c r="K53" s="2" t="s">
        <v>18</v>
      </c>
      <c r="L53" s="2" t="s">
        <v>19</v>
      </c>
      <c r="M53" s="4" t="str">
        <f t="shared" si="1"/>
        <v>Voluntary</v>
      </c>
      <c r="N53" s="23" t="s">
        <v>20</v>
      </c>
    </row>
    <row r="54" spans="1:14" x14ac:dyDescent="0.25">
      <c r="A54" s="22">
        <v>1411</v>
      </c>
      <c r="B54" s="3">
        <v>36923</v>
      </c>
      <c r="C54" s="3">
        <v>43836</v>
      </c>
      <c r="D54" s="2">
        <f t="shared" si="0"/>
        <v>19</v>
      </c>
      <c r="E54" s="4" t="str" cm="1">
        <f t="array" ref="E54">_xlfn.IFS(
D54&lt;=5,"Newcomer",
D54&lt;=10,"Proficient",
D54&gt;10,"Expert"
)</f>
        <v>Expert</v>
      </c>
      <c r="F54" s="2" t="s">
        <v>74</v>
      </c>
      <c r="G54" s="5" t="s">
        <v>35</v>
      </c>
      <c r="H54" s="5" t="s">
        <v>76</v>
      </c>
      <c r="I54" s="2">
        <v>9</v>
      </c>
      <c r="J54" s="2" t="s">
        <v>24</v>
      </c>
      <c r="K54" s="2" t="s">
        <v>25</v>
      </c>
      <c r="L54" s="2" t="s">
        <v>19</v>
      </c>
      <c r="M54" s="4" t="str">
        <f t="shared" si="1"/>
        <v>Voluntary</v>
      </c>
      <c r="N54" s="23" t="s">
        <v>26</v>
      </c>
    </row>
    <row r="55" spans="1:14" x14ac:dyDescent="0.25">
      <c r="A55" s="22">
        <v>1412</v>
      </c>
      <c r="B55" s="3">
        <v>35970</v>
      </c>
      <c r="C55" s="3">
        <v>44183</v>
      </c>
      <c r="D55" s="2">
        <f t="shared" si="0"/>
        <v>22</v>
      </c>
      <c r="E55" s="4" t="str" cm="1">
        <f t="array" ref="E55">_xlfn.IFS(
D55&lt;=5,"Newcomer",
D55&lt;=10,"Proficient",
D55&gt;10,"Expert"
)</f>
        <v>Expert</v>
      </c>
      <c r="F55" s="2" t="s">
        <v>14</v>
      </c>
      <c r="G55" s="5" t="s">
        <v>51</v>
      </c>
      <c r="H55" s="5" t="s">
        <v>52</v>
      </c>
      <c r="I55" s="2">
        <v>35</v>
      </c>
      <c r="J55" s="2" t="s">
        <v>17</v>
      </c>
      <c r="K55" s="2" t="s">
        <v>18</v>
      </c>
      <c r="L55" s="2" t="s">
        <v>19</v>
      </c>
      <c r="M55" s="4" t="str">
        <f t="shared" si="1"/>
        <v>Voluntary</v>
      </c>
      <c r="N55" s="23" t="s">
        <v>20</v>
      </c>
    </row>
    <row r="56" spans="1:14" x14ac:dyDescent="0.25">
      <c r="A56" s="22">
        <v>1413</v>
      </c>
      <c r="B56" s="3">
        <v>32900</v>
      </c>
      <c r="C56" s="3">
        <v>43972</v>
      </c>
      <c r="D56" s="2">
        <f t="shared" si="0"/>
        <v>30</v>
      </c>
      <c r="E56" s="4" t="str" cm="1">
        <f t="array" ref="E56">_xlfn.IFS(
D56&lt;=5,"Newcomer",
D56&lt;=10,"Proficient",
D56&gt;10,"Expert"
)</f>
        <v>Expert</v>
      </c>
      <c r="F56" s="2" t="s">
        <v>14</v>
      </c>
      <c r="G56" s="5" t="s">
        <v>51</v>
      </c>
      <c r="H56" s="5" t="s">
        <v>52</v>
      </c>
      <c r="I56" s="2">
        <v>35</v>
      </c>
      <c r="J56" s="2" t="s">
        <v>17</v>
      </c>
      <c r="K56" s="2" t="s">
        <v>18</v>
      </c>
      <c r="L56" s="2" t="s">
        <v>19</v>
      </c>
      <c r="M56" s="4" t="str">
        <f t="shared" si="1"/>
        <v>Voluntary</v>
      </c>
      <c r="N56" s="23" t="s">
        <v>20</v>
      </c>
    </row>
    <row r="57" spans="1:14" x14ac:dyDescent="0.25">
      <c r="A57" s="22">
        <v>1414</v>
      </c>
      <c r="B57" s="3">
        <v>36419</v>
      </c>
      <c r="C57" s="3">
        <v>44168</v>
      </c>
      <c r="D57" s="2">
        <f t="shared" si="0"/>
        <v>21</v>
      </c>
      <c r="E57" s="4" t="str" cm="1">
        <f t="array" ref="E57">_xlfn.IFS(
D57&lt;=5,"Newcomer",
D57&lt;=10,"Proficient",
D57&gt;10,"Expert"
)</f>
        <v>Expert</v>
      </c>
      <c r="F57" s="2" t="s">
        <v>14</v>
      </c>
      <c r="G57" s="5" t="s">
        <v>51</v>
      </c>
      <c r="H57" s="5" t="s">
        <v>52</v>
      </c>
      <c r="I57" s="2">
        <v>35</v>
      </c>
      <c r="J57" s="2" t="s">
        <v>17</v>
      </c>
      <c r="K57" s="2" t="s">
        <v>18</v>
      </c>
      <c r="L57" s="2" t="s">
        <v>19</v>
      </c>
      <c r="M57" s="4" t="str">
        <f t="shared" si="1"/>
        <v>Voluntary</v>
      </c>
      <c r="N57" s="23" t="s">
        <v>20</v>
      </c>
    </row>
    <row r="58" spans="1:14" x14ac:dyDescent="0.25">
      <c r="A58" s="22">
        <v>1417</v>
      </c>
      <c r="B58" s="3">
        <v>40297</v>
      </c>
      <c r="C58" s="3">
        <v>43899</v>
      </c>
      <c r="D58" s="2">
        <f t="shared" si="0"/>
        <v>10</v>
      </c>
      <c r="E58" s="4" t="str" cm="1">
        <f t="array" ref="E58">_xlfn.IFS(
D58&lt;=5,"Newcomer",
D58&lt;=10,"Proficient",
D58&gt;10,"Expert"
)</f>
        <v>Proficient</v>
      </c>
      <c r="F58" s="2" t="s">
        <v>77</v>
      </c>
      <c r="G58" s="5" t="s">
        <v>22</v>
      </c>
      <c r="H58" s="5" t="s">
        <v>23</v>
      </c>
      <c r="I58" s="2">
        <v>30</v>
      </c>
      <c r="J58" s="2" t="s">
        <v>24</v>
      </c>
      <c r="K58" s="2" t="s">
        <v>25</v>
      </c>
      <c r="L58" s="2" t="s">
        <v>19</v>
      </c>
      <c r="M58" s="4" t="str">
        <f t="shared" si="1"/>
        <v>Voluntary</v>
      </c>
      <c r="N58" s="23" t="s">
        <v>26</v>
      </c>
    </row>
    <row r="59" spans="1:14" x14ac:dyDescent="0.25">
      <c r="A59" s="22">
        <v>1419</v>
      </c>
      <c r="B59" s="3">
        <v>35803</v>
      </c>
      <c r="C59" s="3">
        <v>43934</v>
      </c>
      <c r="D59" s="2">
        <f t="shared" si="0"/>
        <v>22</v>
      </c>
      <c r="E59" s="4" t="str" cm="1">
        <f t="array" ref="E59">_xlfn.IFS(
D59&lt;=5,"Newcomer",
D59&lt;=10,"Proficient",
D59&gt;10,"Expert"
)</f>
        <v>Expert</v>
      </c>
      <c r="F59" s="2" t="s">
        <v>78</v>
      </c>
      <c r="G59" s="5" t="s">
        <v>22</v>
      </c>
      <c r="H59" s="5" t="s">
        <v>23</v>
      </c>
      <c r="I59" s="2">
        <v>21</v>
      </c>
      <c r="J59" s="2" t="s">
        <v>24</v>
      </c>
      <c r="K59" s="2" t="s">
        <v>25</v>
      </c>
      <c r="L59" s="2" t="s">
        <v>19</v>
      </c>
      <c r="M59" s="4" t="str">
        <f t="shared" si="1"/>
        <v>Voluntary</v>
      </c>
      <c r="N59" s="23" t="s">
        <v>26</v>
      </c>
    </row>
    <row r="60" spans="1:14" x14ac:dyDescent="0.25">
      <c r="A60" s="22">
        <v>1421</v>
      </c>
      <c r="B60" s="3">
        <v>42177</v>
      </c>
      <c r="C60" s="3">
        <v>44164</v>
      </c>
      <c r="D60" s="2">
        <f t="shared" si="0"/>
        <v>5</v>
      </c>
      <c r="E60" s="4" t="str" cm="1">
        <f t="array" ref="E60">_xlfn.IFS(
D60&lt;=5,"Newcomer",
D60&lt;=10,"Proficient",
D60&gt;10,"Expert"
)</f>
        <v>Newcomer</v>
      </c>
      <c r="F60" s="2" t="s">
        <v>30</v>
      </c>
      <c r="G60" s="5" t="s">
        <v>22</v>
      </c>
      <c r="H60" s="5" t="s">
        <v>23</v>
      </c>
      <c r="I60" s="2">
        <v>46</v>
      </c>
      <c r="J60" s="2" t="s">
        <v>17</v>
      </c>
      <c r="K60" s="2" t="s">
        <v>18</v>
      </c>
      <c r="L60" s="2" t="s">
        <v>19</v>
      </c>
      <c r="M60" s="4" t="str">
        <f t="shared" si="1"/>
        <v>Voluntary</v>
      </c>
      <c r="N60" s="23" t="s">
        <v>26</v>
      </c>
    </row>
    <row r="61" spans="1:14" x14ac:dyDescent="0.25">
      <c r="A61" s="22">
        <v>1422</v>
      </c>
      <c r="B61" s="3">
        <v>41225</v>
      </c>
      <c r="C61" s="3">
        <v>44157</v>
      </c>
      <c r="D61" s="2">
        <f t="shared" si="0"/>
        <v>8</v>
      </c>
      <c r="E61" s="4" t="str" cm="1">
        <f t="array" ref="E61">_xlfn.IFS(
D61&lt;=5,"Newcomer",
D61&lt;=10,"Proficient",
D61&gt;10,"Expert"
)</f>
        <v>Proficient</v>
      </c>
      <c r="F61" s="2" t="s">
        <v>14</v>
      </c>
      <c r="G61" s="5" t="s">
        <v>62</v>
      </c>
      <c r="H61" s="5" t="s">
        <v>63</v>
      </c>
      <c r="I61" s="2">
        <v>35</v>
      </c>
      <c r="J61" s="2" t="s">
        <v>17</v>
      </c>
      <c r="K61" s="2" t="s">
        <v>18</v>
      </c>
      <c r="L61" s="2" t="s">
        <v>19</v>
      </c>
      <c r="M61" s="4" t="str">
        <f t="shared" si="1"/>
        <v>Voluntary</v>
      </c>
      <c r="N61" s="23" t="s">
        <v>26</v>
      </c>
    </row>
    <row r="62" spans="1:14" x14ac:dyDescent="0.25">
      <c r="A62" s="22">
        <v>1425</v>
      </c>
      <c r="B62" s="3">
        <v>37206</v>
      </c>
      <c r="C62" s="3">
        <v>44048</v>
      </c>
      <c r="D62" s="2">
        <f t="shared" si="0"/>
        <v>19</v>
      </c>
      <c r="E62" s="4" t="str" cm="1">
        <f t="array" ref="E62">_xlfn.IFS(
D62&lt;=5,"Newcomer",
D62&lt;=10,"Proficient",
D62&gt;10,"Expert"
)</f>
        <v>Expert</v>
      </c>
      <c r="F62" s="2" t="s">
        <v>14</v>
      </c>
      <c r="G62" s="5" t="s">
        <v>62</v>
      </c>
      <c r="H62" s="5" t="s">
        <v>63</v>
      </c>
      <c r="I62" s="2">
        <v>35</v>
      </c>
      <c r="J62" s="2" t="s">
        <v>17</v>
      </c>
      <c r="K62" s="2" t="s">
        <v>18</v>
      </c>
      <c r="L62" s="2" t="s">
        <v>19</v>
      </c>
      <c r="M62" s="4" t="str">
        <f t="shared" si="1"/>
        <v>Voluntary</v>
      </c>
      <c r="N62" s="23" t="s">
        <v>26</v>
      </c>
    </row>
    <row r="63" spans="1:14" x14ac:dyDescent="0.25">
      <c r="A63" s="22">
        <v>1427</v>
      </c>
      <c r="B63" s="3">
        <v>40222</v>
      </c>
      <c r="C63" s="3">
        <v>43887</v>
      </c>
      <c r="D63" s="2">
        <f t="shared" si="0"/>
        <v>10</v>
      </c>
      <c r="E63" s="4" t="str" cm="1">
        <f t="array" ref="E63">_xlfn.IFS(
D63&lt;=5,"Newcomer",
D63&lt;=10,"Proficient",
D63&gt;10,"Expert"
)</f>
        <v>Proficient</v>
      </c>
      <c r="F63" s="2" t="s">
        <v>53</v>
      </c>
      <c r="G63" s="5" t="s">
        <v>35</v>
      </c>
      <c r="H63" s="5" t="s">
        <v>36</v>
      </c>
      <c r="I63" s="2">
        <v>31</v>
      </c>
      <c r="J63" s="2" t="s">
        <v>24</v>
      </c>
      <c r="K63" s="2" t="s">
        <v>25</v>
      </c>
      <c r="L63" s="2" t="s">
        <v>19</v>
      </c>
      <c r="M63" s="4" t="str">
        <f t="shared" si="1"/>
        <v>Voluntary</v>
      </c>
      <c r="N63" s="23" t="s">
        <v>26</v>
      </c>
    </row>
    <row r="64" spans="1:14" x14ac:dyDescent="0.25">
      <c r="A64" s="22">
        <v>1428</v>
      </c>
      <c r="B64" s="3">
        <v>36666</v>
      </c>
      <c r="C64" s="3">
        <v>44111</v>
      </c>
      <c r="D64" s="2">
        <f t="shared" si="0"/>
        <v>20</v>
      </c>
      <c r="E64" s="4" t="str" cm="1">
        <f t="array" ref="E64">_xlfn.IFS(
D64&lt;=5,"Newcomer",
D64&lt;=10,"Proficient",
D64&gt;10,"Expert"
)</f>
        <v>Expert</v>
      </c>
      <c r="F64" s="2" t="s">
        <v>30</v>
      </c>
      <c r="G64" s="5" t="s">
        <v>35</v>
      </c>
      <c r="H64" s="5" t="s">
        <v>36</v>
      </c>
      <c r="I64" s="2">
        <v>46</v>
      </c>
      <c r="J64" s="2" t="s">
        <v>17</v>
      </c>
      <c r="K64" s="2" t="s">
        <v>18</v>
      </c>
      <c r="L64" s="2" t="s">
        <v>19</v>
      </c>
      <c r="M64" s="4" t="str">
        <f t="shared" si="1"/>
        <v>Voluntary</v>
      </c>
      <c r="N64" s="23" t="s">
        <v>26</v>
      </c>
    </row>
    <row r="65" spans="1:14" x14ac:dyDescent="0.25">
      <c r="A65" s="22">
        <v>1430</v>
      </c>
      <c r="B65" s="3">
        <v>41469</v>
      </c>
      <c r="C65" s="3">
        <v>44104</v>
      </c>
      <c r="D65" s="2">
        <f t="shared" si="0"/>
        <v>7</v>
      </c>
      <c r="E65" s="4" t="str" cm="1">
        <f t="array" ref="E65">_xlfn.IFS(
D65&lt;=5,"Newcomer",
D65&lt;=10,"Proficient",
D65&gt;10,"Expert"
)</f>
        <v>Proficient</v>
      </c>
      <c r="F65" s="2" t="s">
        <v>14</v>
      </c>
      <c r="G65" s="5" t="s">
        <v>62</v>
      </c>
      <c r="H65" s="5" t="s">
        <v>63</v>
      </c>
      <c r="I65" s="2">
        <v>35</v>
      </c>
      <c r="J65" s="2" t="s">
        <v>17</v>
      </c>
      <c r="K65" s="2" t="s">
        <v>18</v>
      </c>
      <c r="L65" s="2" t="s">
        <v>19</v>
      </c>
      <c r="M65" s="4" t="str">
        <f t="shared" si="1"/>
        <v>Voluntary</v>
      </c>
      <c r="N65" s="23" t="s">
        <v>26</v>
      </c>
    </row>
    <row r="66" spans="1:14" x14ac:dyDescent="0.25">
      <c r="A66" s="22">
        <v>1431</v>
      </c>
      <c r="B66" s="3">
        <v>37423</v>
      </c>
      <c r="C66" s="3">
        <v>44132</v>
      </c>
      <c r="D66" s="2">
        <f t="shared" si="0"/>
        <v>18</v>
      </c>
      <c r="E66" s="4" t="str" cm="1">
        <f t="array" ref="E66">_xlfn.IFS(
D66&lt;=5,"Newcomer",
D66&lt;=10,"Proficient",
D66&gt;10,"Expert"
)</f>
        <v>Expert</v>
      </c>
      <c r="F66" s="2" t="s">
        <v>30</v>
      </c>
      <c r="G66" s="5" t="s">
        <v>42</v>
      </c>
      <c r="H66" s="5" t="s">
        <v>43</v>
      </c>
      <c r="I66" s="2">
        <v>46</v>
      </c>
      <c r="J66" s="2" t="s">
        <v>17</v>
      </c>
      <c r="K66" s="2" t="s">
        <v>18</v>
      </c>
      <c r="L66" s="2" t="s">
        <v>19</v>
      </c>
      <c r="M66" s="4" t="str">
        <f t="shared" ref="M66:M129" si="2">IF(OR(L66="Retirement",L66="Resignation"),"Voluntary","Involuntary")</f>
        <v>Voluntary</v>
      </c>
      <c r="N66" s="23" t="s">
        <v>26</v>
      </c>
    </row>
    <row r="67" spans="1:14" x14ac:dyDescent="0.25">
      <c r="A67" s="22">
        <v>1433</v>
      </c>
      <c r="B67" s="3">
        <v>40145</v>
      </c>
      <c r="C67" s="3">
        <v>44177</v>
      </c>
      <c r="D67" s="2">
        <f t="shared" ref="D67:D130" si="3">YEAR(C67)-YEAR(B67)</f>
        <v>11</v>
      </c>
      <c r="E67" s="4" t="str" cm="1">
        <f t="array" ref="E67">_xlfn.IFS(
D67&lt;=5,"Newcomer",
D67&lt;=10,"Proficient",
D67&gt;10,"Expert"
)</f>
        <v>Expert</v>
      </c>
      <c r="F67" s="2" t="s">
        <v>30</v>
      </c>
      <c r="G67" s="5" t="s">
        <v>47</v>
      </c>
      <c r="H67" s="5" t="s">
        <v>48</v>
      </c>
      <c r="I67" s="2">
        <v>46</v>
      </c>
      <c r="J67" s="2" t="s">
        <v>24</v>
      </c>
      <c r="K67" s="2" t="s">
        <v>25</v>
      </c>
      <c r="L67" s="2" t="s">
        <v>19</v>
      </c>
      <c r="M67" s="4" t="str">
        <f t="shared" si="2"/>
        <v>Voluntary</v>
      </c>
      <c r="N67" s="23" t="s">
        <v>26</v>
      </c>
    </row>
    <row r="68" spans="1:14" x14ac:dyDescent="0.25">
      <c r="A68" s="22">
        <v>1434</v>
      </c>
      <c r="B68" s="3">
        <v>35886</v>
      </c>
      <c r="C68" s="3">
        <v>43937</v>
      </c>
      <c r="D68" s="2">
        <f t="shared" si="3"/>
        <v>22</v>
      </c>
      <c r="E68" s="4" t="str" cm="1">
        <f t="array" ref="E68">_xlfn.IFS(
D68&lt;=5,"Newcomer",
D68&lt;=10,"Proficient",
D68&gt;10,"Expert"
)</f>
        <v>Expert</v>
      </c>
      <c r="F68" s="2" t="s">
        <v>41</v>
      </c>
      <c r="G68" s="5" t="s">
        <v>42</v>
      </c>
      <c r="H68" s="5" t="s">
        <v>43</v>
      </c>
      <c r="I68" s="2">
        <v>15</v>
      </c>
      <c r="J68" s="2" t="s">
        <v>17</v>
      </c>
      <c r="K68" s="2" t="s">
        <v>18</v>
      </c>
      <c r="L68" s="2" t="s">
        <v>19</v>
      </c>
      <c r="M68" s="4" t="str">
        <f t="shared" si="2"/>
        <v>Voluntary</v>
      </c>
      <c r="N68" s="23" t="s">
        <v>26</v>
      </c>
    </row>
    <row r="69" spans="1:14" x14ac:dyDescent="0.25">
      <c r="A69" s="22">
        <v>1435</v>
      </c>
      <c r="B69" s="3">
        <v>36787</v>
      </c>
      <c r="C69" s="3">
        <v>43975</v>
      </c>
      <c r="D69" s="2">
        <f t="shared" si="3"/>
        <v>20</v>
      </c>
      <c r="E69" s="4" t="str" cm="1">
        <f t="array" ref="E69">_xlfn.IFS(
D69&lt;=5,"Newcomer",
D69&lt;=10,"Proficient",
D69&gt;10,"Expert"
)</f>
        <v>Expert</v>
      </c>
      <c r="F69" s="2" t="s">
        <v>79</v>
      </c>
      <c r="G69" s="5" t="s">
        <v>22</v>
      </c>
      <c r="H69" s="5" t="s">
        <v>23</v>
      </c>
      <c r="I69" s="2">
        <v>25</v>
      </c>
      <c r="J69" s="2" t="s">
        <v>17</v>
      </c>
      <c r="K69" s="2" t="s">
        <v>18</v>
      </c>
      <c r="L69" s="2" t="s">
        <v>19</v>
      </c>
      <c r="M69" s="4" t="str">
        <f t="shared" si="2"/>
        <v>Voluntary</v>
      </c>
      <c r="N69" s="23" t="s">
        <v>26</v>
      </c>
    </row>
    <row r="70" spans="1:14" x14ac:dyDescent="0.25">
      <c r="A70" s="22">
        <v>1436</v>
      </c>
      <c r="B70" s="3">
        <v>37100</v>
      </c>
      <c r="C70" s="3">
        <v>44195</v>
      </c>
      <c r="D70" s="2">
        <f t="shared" si="3"/>
        <v>19</v>
      </c>
      <c r="E70" s="4" t="str" cm="1">
        <f t="array" ref="E70">_xlfn.IFS(
D70&lt;=5,"Newcomer",
D70&lt;=10,"Proficient",
D70&gt;10,"Expert"
)</f>
        <v>Expert</v>
      </c>
      <c r="F70" s="2" t="s">
        <v>73</v>
      </c>
      <c r="G70" s="5" t="s">
        <v>47</v>
      </c>
      <c r="H70" s="5" t="s">
        <v>48</v>
      </c>
      <c r="I70" s="2">
        <v>32</v>
      </c>
      <c r="J70" s="2" t="s">
        <v>24</v>
      </c>
      <c r="K70" s="2" t="s">
        <v>25</v>
      </c>
      <c r="L70" s="2" t="s">
        <v>19</v>
      </c>
      <c r="M70" s="4" t="str">
        <f t="shared" si="2"/>
        <v>Voluntary</v>
      </c>
      <c r="N70" s="23" t="s">
        <v>26</v>
      </c>
    </row>
    <row r="71" spans="1:14" x14ac:dyDescent="0.25">
      <c r="A71" s="22">
        <v>1438</v>
      </c>
      <c r="B71" s="3">
        <v>39874</v>
      </c>
      <c r="C71" s="3">
        <v>44160</v>
      </c>
      <c r="D71" s="2">
        <f t="shared" si="3"/>
        <v>11</v>
      </c>
      <c r="E71" s="4" t="str" cm="1">
        <f t="array" ref="E71">_xlfn.IFS(
D71&lt;=5,"Newcomer",
D71&lt;=10,"Proficient",
D71&gt;10,"Expert"
)</f>
        <v>Expert</v>
      </c>
      <c r="F71" s="2" t="s">
        <v>80</v>
      </c>
      <c r="G71" s="5" t="s">
        <v>62</v>
      </c>
      <c r="H71" s="5" t="s">
        <v>63</v>
      </c>
      <c r="I71" s="2">
        <v>7</v>
      </c>
      <c r="J71" s="2" t="s">
        <v>17</v>
      </c>
      <c r="K71" s="2" t="s">
        <v>18</v>
      </c>
      <c r="L71" s="2" t="s">
        <v>19</v>
      </c>
      <c r="M71" s="4" t="str">
        <f t="shared" si="2"/>
        <v>Voluntary</v>
      </c>
      <c r="N71" s="23" t="s">
        <v>26</v>
      </c>
    </row>
    <row r="72" spans="1:14" x14ac:dyDescent="0.25">
      <c r="A72" s="22">
        <v>1439</v>
      </c>
      <c r="B72" s="3">
        <v>34862</v>
      </c>
      <c r="C72" s="3">
        <v>43883</v>
      </c>
      <c r="D72" s="2">
        <f t="shared" si="3"/>
        <v>25</v>
      </c>
      <c r="E72" s="4" t="str" cm="1">
        <f t="array" ref="E72">_xlfn.IFS(
D72&lt;=5,"Newcomer",
D72&lt;=10,"Proficient",
D72&gt;10,"Expert"
)</f>
        <v>Expert</v>
      </c>
      <c r="F72" s="2" t="s">
        <v>81</v>
      </c>
      <c r="G72" s="5" t="s">
        <v>22</v>
      </c>
      <c r="H72" s="5" t="s">
        <v>23</v>
      </c>
      <c r="I72" s="2">
        <v>5</v>
      </c>
      <c r="J72" s="2" t="s">
        <v>17</v>
      </c>
      <c r="K72" s="2" t="s">
        <v>18</v>
      </c>
      <c r="L72" s="2" t="s">
        <v>19</v>
      </c>
      <c r="M72" s="4" t="str">
        <f t="shared" si="2"/>
        <v>Voluntary</v>
      </c>
      <c r="N72" s="23" t="s">
        <v>26</v>
      </c>
    </row>
    <row r="73" spans="1:14" x14ac:dyDescent="0.25">
      <c r="A73" s="22">
        <v>1440</v>
      </c>
      <c r="B73" s="3">
        <v>42044</v>
      </c>
      <c r="C73" s="3">
        <v>43937</v>
      </c>
      <c r="D73" s="2">
        <f t="shared" si="3"/>
        <v>5</v>
      </c>
      <c r="E73" s="4" t="str" cm="1">
        <f t="array" ref="E73">_xlfn.IFS(
D73&lt;=5,"Newcomer",
D73&lt;=10,"Proficient",
D73&gt;10,"Expert"
)</f>
        <v>Newcomer</v>
      </c>
      <c r="F73" s="2" t="s">
        <v>30</v>
      </c>
      <c r="G73" s="5" t="s">
        <v>62</v>
      </c>
      <c r="H73" s="5" t="s">
        <v>63</v>
      </c>
      <c r="I73" s="2">
        <v>46</v>
      </c>
      <c r="J73" s="2" t="s">
        <v>17</v>
      </c>
      <c r="K73" s="2" t="s">
        <v>18</v>
      </c>
      <c r="L73" s="2" t="s">
        <v>19</v>
      </c>
      <c r="M73" s="4" t="str">
        <f t="shared" si="2"/>
        <v>Voluntary</v>
      </c>
      <c r="N73" s="23" t="s">
        <v>26</v>
      </c>
    </row>
    <row r="74" spans="1:14" x14ac:dyDescent="0.25">
      <c r="A74" s="22">
        <v>1441</v>
      </c>
      <c r="B74" s="3">
        <v>33409</v>
      </c>
      <c r="C74" s="3">
        <v>43980</v>
      </c>
      <c r="D74" s="2">
        <f t="shared" si="3"/>
        <v>29</v>
      </c>
      <c r="E74" s="4" t="str" cm="1">
        <f t="array" ref="E74">_xlfn.IFS(
D74&lt;=5,"Newcomer",
D74&lt;=10,"Proficient",
D74&gt;10,"Expert"
)</f>
        <v>Expert</v>
      </c>
      <c r="F74" s="2" t="s">
        <v>14</v>
      </c>
      <c r="G74" s="5" t="s">
        <v>28</v>
      </c>
      <c r="H74" s="5" t="s">
        <v>82</v>
      </c>
      <c r="I74" s="2">
        <v>35</v>
      </c>
      <c r="J74" s="2" t="s">
        <v>24</v>
      </c>
      <c r="K74" s="2" t="s">
        <v>25</v>
      </c>
      <c r="L74" s="2" t="s">
        <v>19</v>
      </c>
      <c r="M74" s="4" t="str">
        <f t="shared" si="2"/>
        <v>Voluntary</v>
      </c>
      <c r="N74" s="23" t="s">
        <v>20</v>
      </c>
    </row>
    <row r="75" spans="1:14" x14ac:dyDescent="0.25">
      <c r="A75" s="22">
        <v>1442</v>
      </c>
      <c r="B75" s="3">
        <v>33715</v>
      </c>
      <c r="C75" s="3">
        <v>44094</v>
      </c>
      <c r="D75" s="2">
        <f t="shared" si="3"/>
        <v>28</v>
      </c>
      <c r="E75" s="4" t="str" cm="1">
        <f t="array" ref="E75">_xlfn.IFS(
D75&lt;=5,"Newcomer",
D75&lt;=10,"Proficient",
D75&gt;10,"Expert"
)</f>
        <v>Expert</v>
      </c>
      <c r="F75" s="2" t="s">
        <v>53</v>
      </c>
      <c r="G75" s="5" t="s">
        <v>42</v>
      </c>
      <c r="H75" s="5" t="s">
        <v>43</v>
      </c>
      <c r="I75" s="2">
        <v>31</v>
      </c>
      <c r="J75" s="2" t="s">
        <v>24</v>
      </c>
      <c r="K75" s="2" t="s">
        <v>25</v>
      </c>
      <c r="L75" s="2" t="s">
        <v>19</v>
      </c>
      <c r="M75" s="4" t="str">
        <f t="shared" si="2"/>
        <v>Voluntary</v>
      </c>
      <c r="N75" s="23" t="s">
        <v>26</v>
      </c>
    </row>
    <row r="76" spans="1:14" x14ac:dyDescent="0.25">
      <c r="A76" s="22">
        <v>1444</v>
      </c>
      <c r="B76" s="3">
        <v>38386</v>
      </c>
      <c r="C76" s="3">
        <v>44060</v>
      </c>
      <c r="D76" s="2">
        <f t="shared" si="3"/>
        <v>15</v>
      </c>
      <c r="E76" s="4" t="str" cm="1">
        <f t="array" ref="E76">_xlfn.IFS(
D76&lt;=5,"Newcomer",
D76&lt;=10,"Proficient",
D76&gt;10,"Expert"
)</f>
        <v>Expert</v>
      </c>
      <c r="F76" s="2" t="s">
        <v>27</v>
      </c>
      <c r="G76" s="5" t="s">
        <v>47</v>
      </c>
      <c r="H76" s="5" t="s">
        <v>48</v>
      </c>
      <c r="I76" s="2">
        <v>16</v>
      </c>
      <c r="J76" s="2" t="s">
        <v>24</v>
      </c>
      <c r="K76" s="2" t="s">
        <v>25</v>
      </c>
      <c r="L76" s="2" t="s">
        <v>19</v>
      </c>
      <c r="M76" s="4" t="str">
        <f t="shared" si="2"/>
        <v>Voluntary</v>
      </c>
      <c r="N76" s="23" t="s">
        <v>26</v>
      </c>
    </row>
    <row r="77" spans="1:14" x14ac:dyDescent="0.25">
      <c r="A77" s="22">
        <v>1445</v>
      </c>
      <c r="B77" s="3">
        <v>36198</v>
      </c>
      <c r="C77" s="3">
        <v>44010</v>
      </c>
      <c r="D77" s="2">
        <f t="shared" si="3"/>
        <v>21</v>
      </c>
      <c r="E77" s="4" t="str" cm="1">
        <f t="array" ref="E77">_xlfn.IFS(
D77&lt;=5,"Newcomer",
D77&lt;=10,"Proficient",
D77&gt;10,"Expert"
)</f>
        <v>Expert</v>
      </c>
      <c r="F77" s="2" t="s">
        <v>66</v>
      </c>
      <c r="G77" s="5" t="s">
        <v>42</v>
      </c>
      <c r="H77" s="5" t="s">
        <v>43</v>
      </c>
      <c r="I77" s="2">
        <v>36</v>
      </c>
      <c r="J77" s="2" t="s">
        <v>17</v>
      </c>
      <c r="K77" s="2" t="s">
        <v>18</v>
      </c>
      <c r="L77" s="2" t="s">
        <v>19</v>
      </c>
      <c r="M77" s="4" t="str">
        <f t="shared" si="2"/>
        <v>Voluntary</v>
      </c>
      <c r="N77" s="23" t="s">
        <v>26</v>
      </c>
    </row>
    <row r="78" spans="1:14" x14ac:dyDescent="0.25">
      <c r="A78" s="22">
        <v>1446</v>
      </c>
      <c r="B78" s="3">
        <v>38923</v>
      </c>
      <c r="C78" s="3">
        <v>44082</v>
      </c>
      <c r="D78" s="2">
        <f t="shared" si="3"/>
        <v>14</v>
      </c>
      <c r="E78" s="4" t="str" cm="1">
        <f t="array" ref="E78">_xlfn.IFS(
D78&lt;=5,"Newcomer",
D78&lt;=10,"Proficient",
D78&gt;10,"Expert"
)</f>
        <v>Expert</v>
      </c>
      <c r="F78" s="2" t="s">
        <v>66</v>
      </c>
      <c r="G78" s="5" t="s">
        <v>47</v>
      </c>
      <c r="H78" s="5" t="s">
        <v>48</v>
      </c>
      <c r="I78" s="2">
        <v>36</v>
      </c>
      <c r="J78" s="2" t="s">
        <v>24</v>
      </c>
      <c r="K78" s="2" t="s">
        <v>25</v>
      </c>
      <c r="L78" s="2" t="s">
        <v>19</v>
      </c>
      <c r="M78" s="4" t="str">
        <f t="shared" si="2"/>
        <v>Voluntary</v>
      </c>
      <c r="N78" s="23" t="s">
        <v>26</v>
      </c>
    </row>
    <row r="79" spans="1:14" x14ac:dyDescent="0.25">
      <c r="A79" s="22">
        <v>1447</v>
      </c>
      <c r="B79" s="3">
        <v>37692</v>
      </c>
      <c r="C79" s="3">
        <v>44064</v>
      </c>
      <c r="D79" s="2">
        <f t="shared" si="3"/>
        <v>17</v>
      </c>
      <c r="E79" s="4" t="str" cm="1">
        <f t="array" ref="E79">_xlfn.IFS(
D79&lt;=5,"Newcomer",
D79&lt;=10,"Proficient",
D79&gt;10,"Expert"
)</f>
        <v>Expert</v>
      </c>
      <c r="F79" s="2" t="s">
        <v>14</v>
      </c>
      <c r="G79" s="5" t="s">
        <v>28</v>
      </c>
      <c r="H79" s="5" t="s">
        <v>82</v>
      </c>
      <c r="I79" s="2">
        <v>35</v>
      </c>
      <c r="J79" s="2" t="s">
        <v>17</v>
      </c>
      <c r="K79" s="2" t="s">
        <v>18</v>
      </c>
      <c r="L79" s="2" t="s">
        <v>19</v>
      </c>
      <c r="M79" s="4" t="str">
        <f t="shared" si="2"/>
        <v>Voluntary</v>
      </c>
      <c r="N79" s="23" t="s">
        <v>20</v>
      </c>
    </row>
    <row r="80" spans="1:14" x14ac:dyDescent="0.25">
      <c r="A80" s="22">
        <v>1448</v>
      </c>
      <c r="B80" s="3">
        <v>38613</v>
      </c>
      <c r="C80" s="3">
        <v>44023</v>
      </c>
      <c r="D80" s="2">
        <f t="shared" si="3"/>
        <v>15</v>
      </c>
      <c r="E80" s="4" t="str" cm="1">
        <f t="array" ref="E80">_xlfn.IFS(
D80&lt;=5,"Newcomer",
D80&lt;=10,"Proficient",
D80&gt;10,"Expert"
)</f>
        <v>Expert</v>
      </c>
      <c r="F80" s="2" t="s">
        <v>14</v>
      </c>
      <c r="G80" s="5" t="s">
        <v>28</v>
      </c>
      <c r="H80" s="5" t="s">
        <v>82</v>
      </c>
      <c r="I80" s="2">
        <v>35</v>
      </c>
      <c r="J80" s="2" t="s">
        <v>17</v>
      </c>
      <c r="K80" s="2" t="s">
        <v>18</v>
      </c>
      <c r="L80" s="2" t="s">
        <v>19</v>
      </c>
      <c r="M80" s="4" t="str">
        <f t="shared" si="2"/>
        <v>Voluntary</v>
      </c>
      <c r="N80" s="23" t="s">
        <v>20</v>
      </c>
    </row>
    <row r="81" spans="1:14" x14ac:dyDescent="0.25">
      <c r="A81" s="22">
        <v>1449</v>
      </c>
      <c r="B81" s="3">
        <v>35801</v>
      </c>
      <c r="C81" s="3">
        <v>44133</v>
      </c>
      <c r="D81" s="2">
        <f t="shared" si="3"/>
        <v>22</v>
      </c>
      <c r="E81" s="4" t="str" cm="1">
        <f t="array" ref="E81">_xlfn.IFS(
D81&lt;=5,"Newcomer",
D81&lt;=10,"Proficient",
D81&gt;10,"Expert"
)</f>
        <v>Expert</v>
      </c>
      <c r="F81" s="2" t="s">
        <v>77</v>
      </c>
      <c r="G81" s="5" t="s">
        <v>35</v>
      </c>
      <c r="H81" s="5" t="s">
        <v>36</v>
      </c>
      <c r="I81" s="2">
        <v>30</v>
      </c>
      <c r="J81" s="2" t="s">
        <v>24</v>
      </c>
      <c r="K81" s="2" t="s">
        <v>25</v>
      </c>
      <c r="L81" s="2" t="s">
        <v>19</v>
      </c>
      <c r="M81" s="4" t="str">
        <f t="shared" si="2"/>
        <v>Voluntary</v>
      </c>
      <c r="N81" s="23" t="s">
        <v>26</v>
      </c>
    </row>
    <row r="82" spans="1:14" x14ac:dyDescent="0.25">
      <c r="A82" s="22">
        <v>1453</v>
      </c>
      <c r="B82" s="3">
        <v>39507</v>
      </c>
      <c r="C82" s="3">
        <v>44064</v>
      </c>
      <c r="D82" s="2">
        <f t="shared" si="3"/>
        <v>12</v>
      </c>
      <c r="E82" s="4" t="str" cm="1">
        <f t="array" ref="E82">_xlfn.IFS(
D82&lt;=5,"Newcomer",
D82&lt;=10,"Proficient",
D82&gt;10,"Expert"
)</f>
        <v>Expert</v>
      </c>
      <c r="F82" s="2" t="s">
        <v>27</v>
      </c>
      <c r="G82" s="5" t="s">
        <v>62</v>
      </c>
      <c r="H82" s="5" t="s">
        <v>63</v>
      </c>
      <c r="I82" s="2">
        <v>16</v>
      </c>
      <c r="J82" s="2" t="s">
        <v>17</v>
      </c>
      <c r="K82" s="2" t="s">
        <v>18</v>
      </c>
      <c r="L82" s="2" t="s">
        <v>19</v>
      </c>
      <c r="M82" s="4" t="str">
        <f t="shared" si="2"/>
        <v>Voluntary</v>
      </c>
      <c r="N82" s="23" t="s">
        <v>26</v>
      </c>
    </row>
    <row r="83" spans="1:14" x14ac:dyDescent="0.25">
      <c r="A83" s="22">
        <v>1456</v>
      </c>
      <c r="B83" s="3">
        <v>40365</v>
      </c>
      <c r="C83" s="3">
        <v>43950</v>
      </c>
      <c r="D83" s="2">
        <f t="shared" si="3"/>
        <v>10</v>
      </c>
      <c r="E83" s="4" t="str" cm="1">
        <f t="array" ref="E83">_xlfn.IFS(
D83&lt;=5,"Newcomer",
D83&lt;=10,"Proficient",
D83&gt;10,"Expert"
)</f>
        <v>Proficient</v>
      </c>
      <c r="F83" s="2" t="s">
        <v>44</v>
      </c>
      <c r="G83" s="5" t="s">
        <v>62</v>
      </c>
      <c r="H83" s="5" t="s">
        <v>83</v>
      </c>
      <c r="I83" s="2">
        <v>18</v>
      </c>
      <c r="J83" s="2" t="s">
        <v>24</v>
      </c>
      <c r="K83" s="2" t="s">
        <v>25</v>
      </c>
      <c r="L83" s="2" t="s">
        <v>19</v>
      </c>
      <c r="M83" s="4" t="str">
        <f t="shared" si="2"/>
        <v>Voluntary</v>
      </c>
      <c r="N83" s="23" t="s">
        <v>26</v>
      </c>
    </row>
    <row r="84" spans="1:14" x14ac:dyDescent="0.25">
      <c r="A84" s="22">
        <v>1458</v>
      </c>
      <c r="B84" s="3">
        <v>36697</v>
      </c>
      <c r="C84" s="3">
        <v>44136</v>
      </c>
      <c r="D84" s="2">
        <f t="shared" si="3"/>
        <v>20</v>
      </c>
      <c r="E84" s="4" t="str" cm="1">
        <f t="array" ref="E84">_xlfn.IFS(
D84&lt;=5,"Newcomer",
D84&lt;=10,"Proficient",
D84&gt;10,"Expert"
)</f>
        <v>Expert</v>
      </c>
      <c r="F84" s="2" t="s">
        <v>14</v>
      </c>
      <c r="G84" s="5" t="s">
        <v>28</v>
      </c>
      <c r="H84" s="5" t="s">
        <v>82</v>
      </c>
      <c r="I84" s="2">
        <v>35</v>
      </c>
      <c r="J84" s="2" t="s">
        <v>17</v>
      </c>
      <c r="K84" s="2" t="s">
        <v>18</v>
      </c>
      <c r="L84" s="2" t="s">
        <v>19</v>
      </c>
      <c r="M84" s="4" t="str">
        <f t="shared" si="2"/>
        <v>Voluntary</v>
      </c>
      <c r="N84" s="23" t="s">
        <v>20</v>
      </c>
    </row>
    <row r="85" spans="1:14" x14ac:dyDescent="0.25">
      <c r="A85" s="22">
        <v>1460</v>
      </c>
      <c r="B85" s="3">
        <v>38138</v>
      </c>
      <c r="C85" s="3">
        <v>44038</v>
      </c>
      <c r="D85" s="2">
        <f t="shared" si="3"/>
        <v>16</v>
      </c>
      <c r="E85" s="4" t="str" cm="1">
        <f t="array" ref="E85">_xlfn.IFS(
D85&lt;=5,"Newcomer",
D85&lt;=10,"Proficient",
D85&gt;10,"Expert"
)</f>
        <v>Expert</v>
      </c>
      <c r="F85" s="2" t="s">
        <v>41</v>
      </c>
      <c r="G85" s="5" t="s">
        <v>62</v>
      </c>
      <c r="H85" s="5" t="s">
        <v>63</v>
      </c>
      <c r="I85" s="2">
        <v>15</v>
      </c>
      <c r="J85" s="2" t="s">
        <v>17</v>
      </c>
      <c r="K85" s="2" t="s">
        <v>18</v>
      </c>
      <c r="L85" s="2" t="s">
        <v>19</v>
      </c>
      <c r="M85" s="4" t="str">
        <f t="shared" si="2"/>
        <v>Voluntary</v>
      </c>
      <c r="N85" s="23" t="s">
        <v>26</v>
      </c>
    </row>
    <row r="86" spans="1:14" x14ac:dyDescent="0.25">
      <c r="A86" s="22">
        <v>1461</v>
      </c>
      <c r="B86" s="3">
        <v>36631</v>
      </c>
      <c r="C86" s="3">
        <v>43948</v>
      </c>
      <c r="D86" s="2">
        <f t="shared" si="3"/>
        <v>20</v>
      </c>
      <c r="E86" s="4" t="str" cm="1">
        <f t="array" ref="E86">_xlfn.IFS(
D86&lt;=5,"Newcomer",
D86&lt;=10,"Proficient",
D86&gt;10,"Expert"
)</f>
        <v>Expert</v>
      </c>
      <c r="F86" s="2" t="s">
        <v>14</v>
      </c>
      <c r="G86" s="5" t="s">
        <v>28</v>
      </c>
      <c r="H86" s="5" t="s">
        <v>82</v>
      </c>
      <c r="I86" s="2">
        <v>35</v>
      </c>
      <c r="J86" s="2" t="s">
        <v>24</v>
      </c>
      <c r="K86" s="2" t="s">
        <v>25</v>
      </c>
      <c r="L86" s="2" t="s">
        <v>19</v>
      </c>
      <c r="M86" s="4" t="str">
        <f t="shared" si="2"/>
        <v>Voluntary</v>
      </c>
      <c r="N86" s="23" t="s">
        <v>20</v>
      </c>
    </row>
    <row r="87" spans="1:14" x14ac:dyDescent="0.25">
      <c r="A87" s="22">
        <v>1463</v>
      </c>
      <c r="B87" s="3">
        <v>38948</v>
      </c>
      <c r="C87" s="3">
        <v>43876</v>
      </c>
      <c r="D87" s="2">
        <f t="shared" si="3"/>
        <v>14</v>
      </c>
      <c r="E87" s="4" t="str" cm="1">
        <f t="array" ref="E87">_xlfn.IFS(
D87&lt;=5,"Newcomer",
D87&lt;=10,"Proficient",
D87&gt;10,"Expert"
)</f>
        <v>Expert</v>
      </c>
      <c r="F87" s="2" t="s">
        <v>14</v>
      </c>
      <c r="G87" s="5" t="s">
        <v>31</v>
      </c>
      <c r="H87" s="5" t="s">
        <v>84</v>
      </c>
      <c r="I87" s="2">
        <v>35</v>
      </c>
      <c r="J87" s="2" t="s">
        <v>24</v>
      </c>
      <c r="K87" s="2" t="s">
        <v>25</v>
      </c>
      <c r="L87" s="2" t="s">
        <v>19</v>
      </c>
      <c r="M87" s="4" t="str">
        <f t="shared" si="2"/>
        <v>Voluntary</v>
      </c>
      <c r="N87" s="23" t="s">
        <v>20</v>
      </c>
    </row>
    <row r="88" spans="1:14" x14ac:dyDescent="0.25">
      <c r="A88" s="22">
        <v>1465</v>
      </c>
      <c r="B88" s="3">
        <v>33148</v>
      </c>
      <c r="C88" s="3">
        <v>44111</v>
      </c>
      <c r="D88" s="2">
        <f t="shared" si="3"/>
        <v>30</v>
      </c>
      <c r="E88" s="4" t="str" cm="1">
        <f t="array" ref="E88">_xlfn.IFS(
D88&lt;=5,"Newcomer",
D88&lt;=10,"Proficient",
D88&gt;10,"Expert"
)</f>
        <v>Expert</v>
      </c>
      <c r="F88" s="2" t="s">
        <v>27</v>
      </c>
      <c r="G88" s="5" t="s">
        <v>67</v>
      </c>
      <c r="H88" s="5" t="s">
        <v>68</v>
      </c>
      <c r="I88" s="2">
        <v>16</v>
      </c>
      <c r="J88" s="2" t="s">
        <v>24</v>
      </c>
      <c r="K88" s="2" t="s">
        <v>25</v>
      </c>
      <c r="L88" s="2" t="s">
        <v>19</v>
      </c>
      <c r="M88" s="4" t="str">
        <f t="shared" si="2"/>
        <v>Voluntary</v>
      </c>
      <c r="N88" s="23" t="s">
        <v>26</v>
      </c>
    </row>
    <row r="89" spans="1:14" x14ac:dyDescent="0.25">
      <c r="A89" s="22">
        <v>1466</v>
      </c>
      <c r="B89" s="3">
        <v>39926</v>
      </c>
      <c r="C89" s="3">
        <v>43954</v>
      </c>
      <c r="D89" s="2">
        <f t="shared" si="3"/>
        <v>11</v>
      </c>
      <c r="E89" s="4" t="str" cm="1">
        <f t="array" ref="E89">_xlfn.IFS(
D89&lt;=5,"Newcomer",
D89&lt;=10,"Proficient",
D89&gt;10,"Expert"
)</f>
        <v>Expert</v>
      </c>
      <c r="F89" s="2" t="s">
        <v>41</v>
      </c>
      <c r="G89" s="5" t="s">
        <v>47</v>
      </c>
      <c r="H89" s="5" t="s">
        <v>48</v>
      </c>
      <c r="I89" s="2">
        <v>15</v>
      </c>
      <c r="J89" s="2" t="s">
        <v>17</v>
      </c>
      <c r="K89" s="2" t="s">
        <v>18</v>
      </c>
      <c r="L89" s="2" t="s">
        <v>19</v>
      </c>
      <c r="M89" s="4" t="str">
        <f t="shared" si="2"/>
        <v>Voluntary</v>
      </c>
      <c r="N89" s="23" t="s">
        <v>26</v>
      </c>
    </row>
    <row r="90" spans="1:14" x14ac:dyDescent="0.25">
      <c r="A90" s="22">
        <v>1469</v>
      </c>
      <c r="B90" s="3">
        <v>34213</v>
      </c>
      <c r="C90" s="3">
        <v>43972</v>
      </c>
      <c r="D90" s="2">
        <f t="shared" si="3"/>
        <v>27</v>
      </c>
      <c r="E90" s="4" t="str" cm="1">
        <f t="array" ref="E90">_xlfn.IFS(
D90&lt;=5,"Newcomer",
D90&lt;=10,"Proficient",
D90&gt;10,"Expert"
)</f>
        <v>Expert</v>
      </c>
      <c r="F90" s="2" t="s">
        <v>14</v>
      </c>
      <c r="G90" s="5" t="s">
        <v>31</v>
      </c>
      <c r="H90" s="5" t="s">
        <v>84</v>
      </c>
      <c r="I90" s="2">
        <v>35</v>
      </c>
      <c r="J90" s="2" t="s">
        <v>17</v>
      </c>
      <c r="K90" s="2" t="s">
        <v>18</v>
      </c>
      <c r="L90" s="2" t="s">
        <v>19</v>
      </c>
      <c r="M90" s="4" t="str">
        <f t="shared" si="2"/>
        <v>Voluntary</v>
      </c>
      <c r="N90" s="23" t="s">
        <v>20</v>
      </c>
    </row>
    <row r="91" spans="1:14" x14ac:dyDescent="0.25">
      <c r="A91" s="22">
        <v>1470</v>
      </c>
      <c r="B91" s="3">
        <v>33887</v>
      </c>
      <c r="C91" s="3">
        <v>43912</v>
      </c>
      <c r="D91" s="2">
        <f t="shared" si="3"/>
        <v>28</v>
      </c>
      <c r="E91" s="4" t="str" cm="1">
        <f t="array" ref="E91">_xlfn.IFS(
D91&lt;=5,"Newcomer",
D91&lt;=10,"Proficient",
D91&gt;10,"Expert"
)</f>
        <v>Expert</v>
      </c>
      <c r="F91" s="2" t="s">
        <v>14</v>
      </c>
      <c r="G91" s="5" t="s">
        <v>31</v>
      </c>
      <c r="H91" s="5" t="s">
        <v>84</v>
      </c>
      <c r="I91" s="2">
        <v>35</v>
      </c>
      <c r="J91" s="2" t="s">
        <v>24</v>
      </c>
      <c r="K91" s="2" t="s">
        <v>25</v>
      </c>
      <c r="L91" s="2" t="s">
        <v>19</v>
      </c>
      <c r="M91" s="4" t="str">
        <f t="shared" si="2"/>
        <v>Voluntary</v>
      </c>
      <c r="N91" s="23" t="s">
        <v>20</v>
      </c>
    </row>
    <row r="92" spans="1:14" x14ac:dyDescent="0.25">
      <c r="A92" s="22">
        <v>1474</v>
      </c>
      <c r="B92" s="3">
        <v>35963</v>
      </c>
      <c r="C92" s="3">
        <v>43863</v>
      </c>
      <c r="D92" s="2">
        <f t="shared" si="3"/>
        <v>22</v>
      </c>
      <c r="E92" s="4" t="str" cm="1">
        <f t="array" ref="E92">_xlfn.IFS(
D92&lt;=5,"Newcomer",
D92&lt;=10,"Proficient",
D92&gt;10,"Expert"
)</f>
        <v>Expert</v>
      </c>
      <c r="F92" s="2" t="s">
        <v>49</v>
      </c>
      <c r="G92" s="5" t="s">
        <v>35</v>
      </c>
      <c r="H92" s="5" t="s">
        <v>36</v>
      </c>
      <c r="I92" s="2">
        <v>12</v>
      </c>
      <c r="J92" s="2" t="s">
        <v>24</v>
      </c>
      <c r="K92" s="2" t="s">
        <v>25</v>
      </c>
      <c r="L92" s="2" t="s">
        <v>19</v>
      </c>
      <c r="M92" s="4" t="str">
        <f t="shared" si="2"/>
        <v>Voluntary</v>
      </c>
      <c r="N92" s="23" t="s">
        <v>26</v>
      </c>
    </row>
    <row r="93" spans="1:14" x14ac:dyDescent="0.25">
      <c r="A93" s="22">
        <v>1475</v>
      </c>
      <c r="B93" s="3">
        <v>36427</v>
      </c>
      <c r="C93" s="3">
        <v>43909</v>
      </c>
      <c r="D93" s="2">
        <f t="shared" si="3"/>
        <v>21</v>
      </c>
      <c r="E93" s="4" t="str" cm="1">
        <f t="array" ref="E93">_xlfn.IFS(
D93&lt;=5,"Newcomer",
D93&lt;=10,"Proficient",
D93&gt;10,"Expert"
)</f>
        <v>Expert</v>
      </c>
      <c r="F93" s="2" t="s">
        <v>14</v>
      </c>
      <c r="G93" s="5" t="s">
        <v>31</v>
      </c>
      <c r="H93" s="5" t="s">
        <v>84</v>
      </c>
      <c r="I93" s="2">
        <v>35</v>
      </c>
      <c r="J93" s="2" t="s">
        <v>24</v>
      </c>
      <c r="K93" s="2" t="s">
        <v>25</v>
      </c>
      <c r="L93" s="2" t="s">
        <v>19</v>
      </c>
      <c r="M93" s="4" t="str">
        <f t="shared" si="2"/>
        <v>Voluntary</v>
      </c>
      <c r="N93" s="23" t="s">
        <v>20</v>
      </c>
    </row>
    <row r="94" spans="1:14" x14ac:dyDescent="0.25">
      <c r="A94" s="22">
        <v>1476</v>
      </c>
      <c r="B94" s="3">
        <v>33149</v>
      </c>
      <c r="C94" s="3">
        <v>44144</v>
      </c>
      <c r="D94" s="2">
        <f t="shared" si="3"/>
        <v>30</v>
      </c>
      <c r="E94" s="4" t="str" cm="1">
        <f t="array" ref="E94">_xlfn.IFS(
D94&lt;=5,"Newcomer",
D94&lt;=10,"Proficient",
D94&gt;10,"Expert"
)</f>
        <v>Expert</v>
      </c>
      <c r="F94" s="2" t="s">
        <v>85</v>
      </c>
      <c r="G94" s="5" t="s">
        <v>22</v>
      </c>
      <c r="H94" s="5" t="s">
        <v>23</v>
      </c>
      <c r="I94" s="2">
        <v>3</v>
      </c>
      <c r="J94" s="2" t="s">
        <v>17</v>
      </c>
      <c r="K94" s="2" t="s">
        <v>18</v>
      </c>
      <c r="L94" s="2" t="s">
        <v>19</v>
      </c>
      <c r="M94" s="4" t="str">
        <f t="shared" si="2"/>
        <v>Voluntary</v>
      </c>
      <c r="N94" s="23" t="s">
        <v>26</v>
      </c>
    </row>
    <row r="95" spans="1:14" x14ac:dyDescent="0.25">
      <c r="A95" s="22">
        <v>1480</v>
      </c>
      <c r="B95" s="3">
        <v>40829</v>
      </c>
      <c r="C95" s="3">
        <v>44113</v>
      </c>
      <c r="D95" s="2">
        <f t="shared" si="3"/>
        <v>9</v>
      </c>
      <c r="E95" s="4" t="str" cm="1">
        <f t="array" ref="E95">_xlfn.IFS(
D95&lt;=5,"Newcomer",
D95&lt;=10,"Proficient",
D95&gt;10,"Expert"
)</f>
        <v>Proficient</v>
      </c>
      <c r="F95" s="2" t="s">
        <v>14</v>
      </c>
      <c r="G95" s="5" t="s">
        <v>31</v>
      </c>
      <c r="H95" s="5" t="s">
        <v>84</v>
      </c>
      <c r="I95" s="2">
        <v>35</v>
      </c>
      <c r="J95" s="2" t="s">
        <v>24</v>
      </c>
      <c r="K95" s="2" t="s">
        <v>25</v>
      </c>
      <c r="L95" s="2" t="s">
        <v>19</v>
      </c>
      <c r="M95" s="4" t="str">
        <f t="shared" si="2"/>
        <v>Voluntary</v>
      </c>
      <c r="N95" s="23" t="s">
        <v>20</v>
      </c>
    </row>
    <row r="96" spans="1:14" x14ac:dyDescent="0.25">
      <c r="A96" s="22">
        <v>1481</v>
      </c>
      <c r="B96" s="3">
        <v>40490</v>
      </c>
      <c r="C96" s="3">
        <v>44158</v>
      </c>
      <c r="D96" s="2">
        <f t="shared" si="3"/>
        <v>10</v>
      </c>
      <c r="E96" s="4" t="str" cm="1">
        <f t="array" ref="E96">_xlfn.IFS(
D96&lt;=5,"Newcomer",
D96&lt;=10,"Proficient",
D96&gt;10,"Expert"
)</f>
        <v>Proficient</v>
      </c>
      <c r="F96" s="2" t="s">
        <v>86</v>
      </c>
      <c r="G96" s="5" t="s">
        <v>22</v>
      </c>
      <c r="H96" s="5" t="s">
        <v>23</v>
      </c>
      <c r="I96" s="2">
        <v>8</v>
      </c>
      <c r="J96" s="2" t="s">
        <v>24</v>
      </c>
      <c r="K96" s="2" t="s">
        <v>25</v>
      </c>
      <c r="L96" s="2" t="s">
        <v>19</v>
      </c>
      <c r="M96" s="4" t="str">
        <f t="shared" si="2"/>
        <v>Voluntary</v>
      </c>
      <c r="N96" s="23" t="s">
        <v>26</v>
      </c>
    </row>
    <row r="97" spans="1:14" x14ac:dyDescent="0.25">
      <c r="A97" s="22">
        <v>1482</v>
      </c>
      <c r="B97" s="3">
        <v>41372</v>
      </c>
      <c r="C97" s="3">
        <v>44072</v>
      </c>
      <c r="D97" s="2">
        <f t="shared" si="3"/>
        <v>7</v>
      </c>
      <c r="E97" s="4" t="str" cm="1">
        <f t="array" ref="E97">_xlfn.IFS(
D97&lt;=5,"Newcomer",
D97&lt;=10,"Proficient",
D97&gt;10,"Expert"
)</f>
        <v>Proficient</v>
      </c>
      <c r="F97" s="2" t="s">
        <v>69</v>
      </c>
      <c r="G97" s="5" t="s">
        <v>42</v>
      </c>
      <c r="H97" s="5" t="s">
        <v>43</v>
      </c>
      <c r="I97" s="2">
        <v>28</v>
      </c>
      <c r="J97" s="2" t="s">
        <v>17</v>
      </c>
      <c r="K97" s="2" t="s">
        <v>18</v>
      </c>
      <c r="L97" s="2" t="s">
        <v>19</v>
      </c>
      <c r="M97" s="4" t="str">
        <f t="shared" si="2"/>
        <v>Voluntary</v>
      </c>
      <c r="N97" s="23" t="s">
        <v>26</v>
      </c>
    </row>
    <row r="98" spans="1:14" x14ac:dyDescent="0.25">
      <c r="A98" s="22">
        <v>1483</v>
      </c>
      <c r="B98" s="3">
        <v>36071</v>
      </c>
      <c r="C98" s="3">
        <v>44031</v>
      </c>
      <c r="D98" s="2">
        <f t="shared" si="3"/>
        <v>22</v>
      </c>
      <c r="E98" s="4" t="str" cm="1">
        <f t="array" ref="E98">_xlfn.IFS(
D98&lt;=5,"Newcomer",
D98&lt;=10,"Proficient",
D98&gt;10,"Expert"
)</f>
        <v>Expert</v>
      </c>
      <c r="F98" s="2" t="s">
        <v>87</v>
      </c>
      <c r="G98" s="5" t="s">
        <v>35</v>
      </c>
      <c r="H98" s="5" t="s">
        <v>36</v>
      </c>
      <c r="I98" s="2">
        <v>40</v>
      </c>
      <c r="J98" s="2" t="s">
        <v>24</v>
      </c>
      <c r="K98" s="2" t="s">
        <v>25</v>
      </c>
      <c r="L98" s="2" t="s">
        <v>19</v>
      </c>
      <c r="M98" s="4" t="str">
        <f t="shared" si="2"/>
        <v>Voluntary</v>
      </c>
      <c r="N98" s="23" t="s">
        <v>26</v>
      </c>
    </row>
    <row r="99" spans="1:14" x14ac:dyDescent="0.25">
      <c r="A99" s="22">
        <v>1484</v>
      </c>
      <c r="B99" s="3">
        <v>38056</v>
      </c>
      <c r="C99" s="3">
        <v>44076</v>
      </c>
      <c r="D99" s="2">
        <f t="shared" si="3"/>
        <v>16</v>
      </c>
      <c r="E99" s="4" t="str" cm="1">
        <f t="array" ref="E99">_xlfn.IFS(
D99&lt;=5,"Newcomer",
D99&lt;=10,"Proficient",
D99&gt;10,"Expert"
)</f>
        <v>Expert</v>
      </c>
      <c r="F99" s="2" t="s">
        <v>14</v>
      </c>
      <c r="G99" s="5" t="s">
        <v>31</v>
      </c>
      <c r="H99" s="5" t="s">
        <v>84</v>
      </c>
      <c r="I99" s="2">
        <v>35</v>
      </c>
      <c r="J99" s="2" t="s">
        <v>17</v>
      </c>
      <c r="K99" s="2" t="s">
        <v>18</v>
      </c>
      <c r="L99" s="2" t="s">
        <v>50</v>
      </c>
      <c r="M99" s="4" t="str">
        <f t="shared" si="2"/>
        <v>Voluntary</v>
      </c>
      <c r="N99" s="23" t="s">
        <v>20</v>
      </c>
    </row>
    <row r="100" spans="1:14" x14ac:dyDescent="0.25">
      <c r="A100" s="22">
        <v>1485</v>
      </c>
      <c r="B100" s="3">
        <v>38302</v>
      </c>
      <c r="C100" s="3">
        <v>44105</v>
      </c>
      <c r="D100" s="2">
        <f t="shared" si="3"/>
        <v>16</v>
      </c>
      <c r="E100" s="4" t="str" cm="1">
        <f t="array" ref="E100">_xlfn.IFS(
D100&lt;=5,"Newcomer",
D100&lt;=10,"Proficient",
D100&gt;10,"Expert"
)</f>
        <v>Expert</v>
      </c>
      <c r="F100" s="2" t="s">
        <v>14</v>
      </c>
      <c r="G100" s="5" t="s">
        <v>31</v>
      </c>
      <c r="H100" s="5" t="s">
        <v>84</v>
      </c>
      <c r="I100" s="2">
        <v>35</v>
      </c>
      <c r="J100" s="2" t="s">
        <v>24</v>
      </c>
      <c r="K100" s="2" t="s">
        <v>25</v>
      </c>
      <c r="L100" s="2" t="s">
        <v>19</v>
      </c>
      <c r="M100" s="4" t="str">
        <f t="shared" si="2"/>
        <v>Voluntary</v>
      </c>
      <c r="N100" s="23" t="s">
        <v>20</v>
      </c>
    </row>
    <row r="101" spans="1:14" x14ac:dyDescent="0.25">
      <c r="A101" s="22">
        <v>1486</v>
      </c>
      <c r="B101" s="3">
        <v>36358</v>
      </c>
      <c r="C101" s="3">
        <v>43847</v>
      </c>
      <c r="D101" s="2">
        <f t="shared" si="3"/>
        <v>21</v>
      </c>
      <c r="E101" s="4" t="str" cm="1">
        <f t="array" ref="E101">_xlfn.IFS(
D101&lt;=5,"Newcomer",
D101&lt;=10,"Proficient",
D101&gt;10,"Expert"
)</f>
        <v>Expert</v>
      </c>
      <c r="F101" s="2" t="s">
        <v>14</v>
      </c>
      <c r="G101" s="5" t="s">
        <v>33</v>
      </c>
      <c r="H101" s="5" t="s">
        <v>88</v>
      </c>
      <c r="I101" s="2">
        <v>35</v>
      </c>
      <c r="J101" s="2" t="s">
        <v>17</v>
      </c>
      <c r="K101" s="2" t="s">
        <v>18</v>
      </c>
      <c r="L101" s="2" t="s">
        <v>19</v>
      </c>
      <c r="M101" s="4" t="str">
        <f t="shared" si="2"/>
        <v>Voluntary</v>
      </c>
      <c r="N101" s="23" t="s">
        <v>20</v>
      </c>
    </row>
    <row r="102" spans="1:14" x14ac:dyDescent="0.25">
      <c r="A102" s="22">
        <v>1487</v>
      </c>
      <c r="B102" s="3">
        <v>39614</v>
      </c>
      <c r="C102" s="3">
        <v>43922</v>
      </c>
      <c r="D102" s="2">
        <f t="shared" si="3"/>
        <v>12</v>
      </c>
      <c r="E102" s="4" t="str" cm="1">
        <f t="array" ref="E102">_xlfn.IFS(
D102&lt;=5,"Newcomer",
D102&lt;=10,"Proficient",
D102&gt;10,"Expert"
)</f>
        <v>Expert</v>
      </c>
      <c r="F102" s="2" t="s">
        <v>14</v>
      </c>
      <c r="G102" s="5" t="s">
        <v>31</v>
      </c>
      <c r="H102" s="5" t="s">
        <v>84</v>
      </c>
      <c r="I102" s="2">
        <v>35</v>
      </c>
      <c r="J102" s="2" t="s">
        <v>17</v>
      </c>
      <c r="K102" s="2" t="s">
        <v>18</v>
      </c>
      <c r="L102" s="2" t="s">
        <v>19</v>
      </c>
      <c r="M102" s="4" t="str">
        <f t="shared" si="2"/>
        <v>Voluntary</v>
      </c>
      <c r="N102" s="23" t="s">
        <v>20</v>
      </c>
    </row>
    <row r="103" spans="1:14" x14ac:dyDescent="0.25">
      <c r="A103" s="22">
        <v>1488</v>
      </c>
      <c r="B103" s="3">
        <v>33469</v>
      </c>
      <c r="C103" s="3">
        <v>44171</v>
      </c>
      <c r="D103" s="2">
        <f t="shared" si="3"/>
        <v>29</v>
      </c>
      <c r="E103" s="4" t="str" cm="1">
        <f t="array" ref="E103">_xlfn.IFS(
D103&lt;=5,"Newcomer",
D103&lt;=10,"Proficient",
D103&gt;10,"Expert"
)</f>
        <v>Expert</v>
      </c>
      <c r="F103" s="2" t="s">
        <v>14</v>
      </c>
      <c r="G103" s="5" t="s">
        <v>33</v>
      </c>
      <c r="H103" s="5" t="s">
        <v>88</v>
      </c>
      <c r="I103" s="2">
        <v>35</v>
      </c>
      <c r="J103" s="2" t="s">
        <v>17</v>
      </c>
      <c r="K103" s="2" t="s">
        <v>18</v>
      </c>
      <c r="L103" s="2" t="s">
        <v>19</v>
      </c>
      <c r="M103" s="4" t="str">
        <f t="shared" si="2"/>
        <v>Voluntary</v>
      </c>
      <c r="N103" s="23" t="s">
        <v>20</v>
      </c>
    </row>
    <row r="104" spans="1:14" x14ac:dyDescent="0.25">
      <c r="A104" s="22">
        <v>1489</v>
      </c>
      <c r="B104" s="3">
        <v>36332</v>
      </c>
      <c r="C104" s="3">
        <v>44043</v>
      </c>
      <c r="D104" s="2">
        <f t="shared" si="3"/>
        <v>21</v>
      </c>
      <c r="E104" s="4" t="str" cm="1">
        <f t="array" ref="E104">_xlfn.IFS(
D104&lt;=5,"Newcomer",
D104&lt;=10,"Proficient",
D104&gt;10,"Expert"
)</f>
        <v>Expert</v>
      </c>
      <c r="F104" s="2" t="s">
        <v>30</v>
      </c>
      <c r="G104" s="5" t="s">
        <v>67</v>
      </c>
      <c r="H104" s="5" t="s">
        <v>68</v>
      </c>
      <c r="I104" s="2">
        <v>46</v>
      </c>
      <c r="J104" s="2" t="s">
        <v>24</v>
      </c>
      <c r="K104" s="2" t="s">
        <v>25</v>
      </c>
      <c r="L104" s="2" t="s">
        <v>19</v>
      </c>
      <c r="M104" s="4" t="str">
        <f t="shared" si="2"/>
        <v>Voluntary</v>
      </c>
      <c r="N104" s="23" t="s">
        <v>26</v>
      </c>
    </row>
    <row r="105" spans="1:14" x14ac:dyDescent="0.25">
      <c r="A105" s="22">
        <v>1490</v>
      </c>
      <c r="B105" s="3">
        <v>36526</v>
      </c>
      <c r="C105" s="3">
        <v>43866</v>
      </c>
      <c r="D105" s="2">
        <f t="shared" si="3"/>
        <v>20</v>
      </c>
      <c r="E105" s="4" t="str" cm="1">
        <f t="array" ref="E105">_xlfn.IFS(
D105&lt;=5,"Newcomer",
D105&lt;=10,"Proficient",
D105&gt;10,"Expert"
)</f>
        <v>Expert</v>
      </c>
      <c r="F105" s="2" t="s">
        <v>66</v>
      </c>
      <c r="G105" s="5" t="s">
        <v>62</v>
      </c>
      <c r="H105" s="5" t="s">
        <v>63</v>
      </c>
      <c r="I105" s="2">
        <v>36</v>
      </c>
      <c r="J105" s="2" t="s">
        <v>24</v>
      </c>
      <c r="K105" s="2" t="s">
        <v>25</v>
      </c>
      <c r="L105" s="2" t="s">
        <v>19</v>
      </c>
      <c r="M105" s="4" t="str">
        <f t="shared" si="2"/>
        <v>Voluntary</v>
      </c>
      <c r="N105" s="23" t="s">
        <v>26</v>
      </c>
    </row>
    <row r="106" spans="1:14" x14ac:dyDescent="0.25">
      <c r="A106" s="22">
        <v>1491</v>
      </c>
      <c r="B106" s="3">
        <v>33740</v>
      </c>
      <c r="C106" s="3">
        <v>44080</v>
      </c>
      <c r="D106" s="2">
        <f t="shared" si="3"/>
        <v>28</v>
      </c>
      <c r="E106" s="4" t="str" cm="1">
        <f t="array" ref="E106">_xlfn.IFS(
D106&lt;=5,"Newcomer",
D106&lt;=10,"Proficient",
D106&gt;10,"Expert"
)</f>
        <v>Expert</v>
      </c>
      <c r="F106" s="2" t="s">
        <v>89</v>
      </c>
      <c r="G106" s="5" t="s">
        <v>22</v>
      </c>
      <c r="H106" s="5" t="s">
        <v>23</v>
      </c>
      <c r="I106" s="2">
        <v>33</v>
      </c>
      <c r="J106" s="2" t="s">
        <v>24</v>
      </c>
      <c r="K106" s="2" t="s">
        <v>25</v>
      </c>
      <c r="L106" s="2" t="s">
        <v>19</v>
      </c>
      <c r="M106" s="4" t="str">
        <f t="shared" si="2"/>
        <v>Voluntary</v>
      </c>
      <c r="N106" s="23" t="s">
        <v>26</v>
      </c>
    </row>
    <row r="107" spans="1:14" x14ac:dyDescent="0.25">
      <c r="A107" s="22">
        <v>1492</v>
      </c>
      <c r="B107" s="3">
        <v>39741</v>
      </c>
      <c r="C107" s="3">
        <v>44020</v>
      </c>
      <c r="D107" s="2">
        <f t="shared" si="3"/>
        <v>12</v>
      </c>
      <c r="E107" s="4" t="str" cm="1">
        <f t="array" ref="E107">_xlfn.IFS(
D107&lt;=5,"Newcomer",
D107&lt;=10,"Proficient",
D107&gt;10,"Expert"
)</f>
        <v>Expert</v>
      </c>
      <c r="F107" s="2" t="s">
        <v>30</v>
      </c>
      <c r="G107" s="5" t="s">
        <v>71</v>
      </c>
      <c r="H107" s="5" t="s">
        <v>72</v>
      </c>
      <c r="I107" s="2">
        <v>46</v>
      </c>
      <c r="J107" s="2" t="s">
        <v>24</v>
      </c>
      <c r="K107" s="2" t="s">
        <v>25</v>
      </c>
      <c r="L107" s="2" t="s">
        <v>19</v>
      </c>
      <c r="M107" s="4" t="str">
        <f t="shared" si="2"/>
        <v>Voluntary</v>
      </c>
      <c r="N107" s="23" t="s">
        <v>26</v>
      </c>
    </row>
    <row r="108" spans="1:14" x14ac:dyDescent="0.25">
      <c r="A108" s="22">
        <v>1494</v>
      </c>
      <c r="B108" s="3">
        <v>38761</v>
      </c>
      <c r="C108" s="3">
        <v>44014</v>
      </c>
      <c r="D108" s="2">
        <f t="shared" si="3"/>
        <v>14</v>
      </c>
      <c r="E108" s="4" t="str" cm="1">
        <f t="array" ref="E108">_xlfn.IFS(
D108&lt;=5,"Newcomer",
D108&lt;=10,"Proficient",
D108&gt;10,"Expert"
)</f>
        <v>Expert</v>
      </c>
      <c r="F108" s="2" t="s">
        <v>30</v>
      </c>
      <c r="G108" s="5" t="s">
        <v>35</v>
      </c>
      <c r="H108" s="5" t="s">
        <v>76</v>
      </c>
      <c r="I108" s="2">
        <v>37</v>
      </c>
      <c r="J108" s="2" t="s">
        <v>17</v>
      </c>
      <c r="K108" s="2" t="s">
        <v>18</v>
      </c>
      <c r="L108" s="2" t="s">
        <v>19</v>
      </c>
      <c r="M108" s="4" t="str">
        <f t="shared" si="2"/>
        <v>Voluntary</v>
      </c>
      <c r="N108" s="23" t="s">
        <v>26</v>
      </c>
    </row>
    <row r="109" spans="1:14" x14ac:dyDescent="0.25">
      <c r="A109" s="22">
        <v>1495</v>
      </c>
      <c r="B109" s="3">
        <v>39522</v>
      </c>
      <c r="C109" s="3">
        <v>44161</v>
      </c>
      <c r="D109" s="2">
        <f t="shared" si="3"/>
        <v>12</v>
      </c>
      <c r="E109" s="4" t="str" cm="1">
        <f t="array" ref="E109">_xlfn.IFS(
D109&lt;=5,"Newcomer",
D109&lt;=10,"Proficient",
D109&gt;10,"Expert"
)</f>
        <v>Expert</v>
      </c>
      <c r="F109" s="2" t="s">
        <v>66</v>
      </c>
      <c r="G109" s="5" t="s">
        <v>67</v>
      </c>
      <c r="H109" s="5" t="s">
        <v>68</v>
      </c>
      <c r="I109" s="2">
        <v>36</v>
      </c>
      <c r="J109" s="2" t="s">
        <v>24</v>
      </c>
      <c r="K109" s="2" t="s">
        <v>25</v>
      </c>
      <c r="L109" s="2" t="s">
        <v>19</v>
      </c>
      <c r="M109" s="4" t="str">
        <f t="shared" si="2"/>
        <v>Voluntary</v>
      </c>
      <c r="N109" s="23" t="s">
        <v>26</v>
      </c>
    </row>
    <row r="110" spans="1:14" x14ac:dyDescent="0.25">
      <c r="A110" s="22">
        <v>1497</v>
      </c>
      <c r="B110" s="3">
        <v>36034</v>
      </c>
      <c r="C110" s="3">
        <v>43831</v>
      </c>
      <c r="D110" s="2">
        <f t="shared" si="3"/>
        <v>22</v>
      </c>
      <c r="E110" s="4" t="str" cm="1">
        <f t="array" ref="E110">_xlfn.IFS(
D110&lt;=5,"Newcomer",
D110&lt;=10,"Proficient",
D110&gt;10,"Expert"
)</f>
        <v>Expert</v>
      </c>
      <c r="F110" s="2" t="s">
        <v>14</v>
      </c>
      <c r="G110" s="5" t="s">
        <v>33</v>
      </c>
      <c r="H110" s="5" t="s">
        <v>88</v>
      </c>
      <c r="I110" s="2">
        <v>35</v>
      </c>
      <c r="J110" s="2" t="s">
        <v>24</v>
      </c>
      <c r="K110" s="2" t="s">
        <v>25</v>
      </c>
      <c r="L110" s="2" t="s">
        <v>19</v>
      </c>
      <c r="M110" s="4" t="str">
        <f t="shared" si="2"/>
        <v>Voluntary</v>
      </c>
      <c r="N110" s="23" t="s">
        <v>20</v>
      </c>
    </row>
    <row r="111" spans="1:14" x14ac:dyDescent="0.25">
      <c r="A111" s="22">
        <v>1498</v>
      </c>
      <c r="B111" s="3">
        <v>36898</v>
      </c>
      <c r="C111" s="3">
        <v>44038</v>
      </c>
      <c r="D111" s="2">
        <f t="shared" si="3"/>
        <v>19</v>
      </c>
      <c r="E111" s="4" t="str" cm="1">
        <f t="array" ref="E111">_xlfn.IFS(
D111&lt;=5,"Newcomer",
D111&lt;=10,"Proficient",
D111&gt;10,"Expert"
)</f>
        <v>Expert</v>
      </c>
      <c r="F111" s="2" t="s">
        <v>14</v>
      </c>
      <c r="G111" s="5" t="s">
        <v>33</v>
      </c>
      <c r="H111" s="5" t="s">
        <v>88</v>
      </c>
      <c r="I111" s="2">
        <v>35</v>
      </c>
      <c r="J111" s="2" t="s">
        <v>24</v>
      </c>
      <c r="K111" s="2" t="s">
        <v>25</v>
      </c>
      <c r="L111" s="2" t="s">
        <v>19</v>
      </c>
      <c r="M111" s="4" t="str">
        <f t="shared" si="2"/>
        <v>Voluntary</v>
      </c>
      <c r="N111" s="23" t="s">
        <v>20</v>
      </c>
    </row>
    <row r="112" spans="1:14" x14ac:dyDescent="0.25">
      <c r="A112" s="22">
        <v>1499</v>
      </c>
      <c r="B112" s="3">
        <v>34902</v>
      </c>
      <c r="C112" s="3">
        <v>43884</v>
      </c>
      <c r="D112" s="2">
        <f t="shared" si="3"/>
        <v>25</v>
      </c>
      <c r="E112" s="4" t="str" cm="1">
        <f t="array" ref="E112">_xlfn.IFS(
D112&lt;=5,"Newcomer",
D112&lt;=10,"Proficient",
D112&gt;10,"Expert"
)</f>
        <v>Expert</v>
      </c>
      <c r="F112" s="2" t="s">
        <v>30</v>
      </c>
      <c r="G112" s="5" t="s">
        <v>35</v>
      </c>
      <c r="H112" s="5" t="s">
        <v>76</v>
      </c>
      <c r="I112" s="2">
        <v>37</v>
      </c>
      <c r="J112" s="2" t="s">
        <v>24</v>
      </c>
      <c r="K112" s="2" t="s">
        <v>25</v>
      </c>
      <c r="L112" s="2" t="s">
        <v>19</v>
      </c>
      <c r="M112" s="4" t="str">
        <f t="shared" si="2"/>
        <v>Voluntary</v>
      </c>
      <c r="N112" s="23" t="s">
        <v>26</v>
      </c>
    </row>
    <row r="113" spans="1:14" x14ac:dyDescent="0.25">
      <c r="A113" s="22">
        <v>1500</v>
      </c>
      <c r="B113" s="3">
        <v>38096</v>
      </c>
      <c r="C113" s="3">
        <v>43965</v>
      </c>
      <c r="D113" s="2">
        <f t="shared" si="3"/>
        <v>16</v>
      </c>
      <c r="E113" s="4" t="str" cm="1">
        <f t="array" ref="E113">_xlfn.IFS(
D113&lt;=5,"Newcomer",
D113&lt;=10,"Proficient",
D113&gt;10,"Expert"
)</f>
        <v>Expert</v>
      </c>
      <c r="F113" s="2" t="s">
        <v>14</v>
      </c>
      <c r="G113" s="5" t="s">
        <v>33</v>
      </c>
      <c r="H113" s="5" t="s">
        <v>88</v>
      </c>
      <c r="I113" s="2">
        <v>35</v>
      </c>
      <c r="J113" s="2" t="s">
        <v>24</v>
      </c>
      <c r="K113" s="2" t="s">
        <v>25</v>
      </c>
      <c r="L113" s="2" t="s">
        <v>19</v>
      </c>
      <c r="M113" s="4" t="str">
        <f t="shared" si="2"/>
        <v>Voluntary</v>
      </c>
      <c r="N113" s="23" t="s">
        <v>20</v>
      </c>
    </row>
    <row r="114" spans="1:14" x14ac:dyDescent="0.25">
      <c r="A114" s="22">
        <v>1502</v>
      </c>
      <c r="B114" s="3">
        <v>35616</v>
      </c>
      <c r="C114" s="3">
        <v>43961</v>
      </c>
      <c r="D114" s="2">
        <f t="shared" si="3"/>
        <v>23</v>
      </c>
      <c r="E114" s="4" t="str" cm="1">
        <f t="array" ref="E114">_xlfn.IFS(
D114&lt;=5,"Newcomer",
D114&lt;=10,"Proficient",
D114&gt;10,"Expert"
)</f>
        <v>Expert</v>
      </c>
      <c r="F114" s="2" t="s">
        <v>90</v>
      </c>
      <c r="G114" s="5" t="s">
        <v>22</v>
      </c>
      <c r="H114" s="5" t="s">
        <v>23</v>
      </c>
      <c r="I114" s="2">
        <v>26</v>
      </c>
      <c r="J114" s="2" t="s">
        <v>24</v>
      </c>
      <c r="K114" s="2" t="s">
        <v>25</v>
      </c>
      <c r="L114" s="2" t="s">
        <v>19</v>
      </c>
      <c r="M114" s="4" t="str">
        <f t="shared" si="2"/>
        <v>Voluntary</v>
      </c>
      <c r="N114" s="23" t="s">
        <v>26</v>
      </c>
    </row>
    <row r="115" spans="1:14" x14ac:dyDescent="0.25">
      <c r="A115" s="22">
        <v>1512</v>
      </c>
      <c r="B115" s="3">
        <v>35271</v>
      </c>
      <c r="C115" s="3">
        <v>43857</v>
      </c>
      <c r="D115" s="2">
        <f t="shared" si="3"/>
        <v>24</v>
      </c>
      <c r="E115" s="4" t="str" cm="1">
        <f t="array" ref="E115">_xlfn.IFS(
D115&lt;=5,"Newcomer",
D115&lt;=10,"Proficient",
D115&gt;10,"Expert"
)</f>
        <v>Expert</v>
      </c>
      <c r="F115" s="2" t="s">
        <v>86</v>
      </c>
      <c r="G115" s="5" t="s">
        <v>35</v>
      </c>
      <c r="H115" s="5" t="s">
        <v>36</v>
      </c>
      <c r="I115" s="2">
        <v>8</v>
      </c>
      <c r="J115" s="2" t="s">
        <v>17</v>
      </c>
      <c r="K115" s="2" t="s">
        <v>18</v>
      </c>
      <c r="L115" s="2" t="s">
        <v>19</v>
      </c>
      <c r="M115" s="4" t="str">
        <f t="shared" si="2"/>
        <v>Voluntary</v>
      </c>
      <c r="N115" s="23" t="s">
        <v>26</v>
      </c>
    </row>
    <row r="116" spans="1:14" x14ac:dyDescent="0.25">
      <c r="A116" s="22">
        <v>1513</v>
      </c>
      <c r="B116" s="3">
        <v>39185</v>
      </c>
      <c r="C116" s="3">
        <v>44048</v>
      </c>
      <c r="D116" s="2">
        <f t="shared" si="3"/>
        <v>13</v>
      </c>
      <c r="E116" s="4" t="str" cm="1">
        <f t="array" ref="E116">_xlfn.IFS(
D116&lt;=5,"Newcomer",
D116&lt;=10,"Proficient",
D116&gt;10,"Expert"
)</f>
        <v>Expert</v>
      </c>
      <c r="F116" s="2" t="s">
        <v>91</v>
      </c>
      <c r="G116" s="5" t="s">
        <v>22</v>
      </c>
      <c r="H116" s="5" t="s">
        <v>23</v>
      </c>
      <c r="I116" s="2">
        <v>29</v>
      </c>
      <c r="J116" s="2" t="s">
        <v>24</v>
      </c>
      <c r="K116" s="2" t="s">
        <v>25</v>
      </c>
      <c r="L116" s="2" t="s">
        <v>19</v>
      </c>
      <c r="M116" s="4" t="str">
        <f t="shared" si="2"/>
        <v>Voluntary</v>
      </c>
      <c r="N116" s="23" t="s">
        <v>26</v>
      </c>
    </row>
    <row r="117" spans="1:14" x14ac:dyDescent="0.25">
      <c r="A117" s="22">
        <v>1516</v>
      </c>
      <c r="B117" s="3">
        <v>40413</v>
      </c>
      <c r="C117" s="3">
        <v>43925</v>
      </c>
      <c r="D117" s="2">
        <f t="shared" si="3"/>
        <v>10</v>
      </c>
      <c r="E117" s="4" t="str" cm="1">
        <f t="array" ref="E117">_xlfn.IFS(
D117&lt;=5,"Newcomer",
D117&lt;=10,"Proficient",
D117&gt;10,"Expert"
)</f>
        <v>Proficient</v>
      </c>
      <c r="F117" s="2" t="s">
        <v>14</v>
      </c>
      <c r="G117" s="5" t="s">
        <v>37</v>
      </c>
      <c r="H117" s="5" t="s">
        <v>92</v>
      </c>
      <c r="I117" s="2">
        <v>35</v>
      </c>
      <c r="J117" s="2" t="s">
        <v>24</v>
      </c>
      <c r="K117" s="2" t="s">
        <v>25</v>
      </c>
      <c r="L117" s="2" t="s">
        <v>19</v>
      </c>
      <c r="M117" s="4" t="str">
        <f t="shared" si="2"/>
        <v>Voluntary</v>
      </c>
      <c r="N117" s="23" t="s">
        <v>20</v>
      </c>
    </row>
    <row r="118" spans="1:14" x14ac:dyDescent="0.25">
      <c r="A118" s="22">
        <v>1517</v>
      </c>
      <c r="B118" s="3">
        <v>38942</v>
      </c>
      <c r="C118" s="3">
        <v>43938</v>
      </c>
      <c r="D118" s="2">
        <f t="shared" si="3"/>
        <v>14</v>
      </c>
      <c r="E118" s="4" t="str" cm="1">
        <f t="array" ref="E118">_xlfn.IFS(
D118&lt;=5,"Newcomer",
D118&lt;=10,"Proficient",
D118&gt;10,"Expert"
)</f>
        <v>Expert</v>
      </c>
      <c r="F118" s="2" t="s">
        <v>14</v>
      </c>
      <c r="G118" s="5" t="s">
        <v>37</v>
      </c>
      <c r="H118" s="5" t="s">
        <v>92</v>
      </c>
      <c r="I118" s="2">
        <v>35</v>
      </c>
      <c r="J118" s="2" t="s">
        <v>17</v>
      </c>
      <c r="K118" s="2" t="s">
        <v>18</v>
      </c>
      <c r="L118" s="2" t="s">
        <v>19</v>
      </c>
      <c r="M118" s="4" t="str">
        <f t="shared" si="2"/>
        <v>Voluntary</v>
      </c>
      <c r="N118" s="23" t="s">
        <v>20</v>
      </c>
    </row>
    <row r="119" spans="1:14" x14ac:dyDescent="0.25">
      <c r="A119" s="22">
        <v>1522</v>
      </c>
      <c r="B119" s="3">
        <v>36014</v>
      </c>
      <c r="C119" s="3">
        <v>43863</v>
      </c>
      <c r="D119" s="2">
        <f t="shared" si="3"/>
        <v>22</v>
      </c>
      <c r="E119" s="4" t="str" cm="1">
        <f t="array" ref="E119">_xlfn.IFS(
D119&lt;=5,"Newcomer",
D119&lt;=10,"Proficient",
D119&gt;10,"Expert"
)</f>
        <v>Expert</v>
      </c>
      <c r="F119" s="2" t="s">
        <v>27</v>
      </c>
      <c r="G119" s="5" t="s">
        <v>71</v>
      </c>
      <c r="H119" s="5" t="s">
        <v>72</v>
      </c>
      <c r="I119" s="2">
        <v>16</v>
      </c>
      <c r="J119" s="2" t="s">
        <v>24</v>
      </c>
      <c r="K119" s="2" t="s">
        <v>25</v>
      </c>
      <c r="L119" s="2" t="s">
        <v>19</v>
      </c>
      <c r="M119" s="4" t="str">
        <f t="shared" si="2"/>
        <v>Voluntary</v>
      </c>
      <c r="N119" s="23" t="s">
        <v>26</v>
      </c>
    </row>
    <row r="120" spans="1:14" x14ac:dyDescent="0.25">
      <c r="A120" s="22">
        <v>1523</v>
      </c>
      <c r="B120" s="3">
        <v>34564</v>
      </c>
      <c r="C120" s="3">
        <v>43978</v>
      </c>
      <c r="D120" s="2">
        <f t="shared" si="3"/>
        <v>26</v>
      </c>
      <c r="E120" s="4" t="str" cm="1">
        <f t="array" ref="E120">_xlfn.IFS(
D120&lt;=5,"Newcomer",
D120&lt;=10,"Proficient",
D120&gt;10,"Expert"
)</f>
        <v>Expert</v>
      </c>
      <c r="F120" s="2" t="s">
        <v>14</v>
      </c>
      <c r="G120" s="5" t="s">
        <v>37</v>
      </c>
      <c r="H120" s="5" t="s">
        <v>92</v>
      </c>
      <c r="I120" s="2">
        <v>35</v>
      </c>
      <c r="J120" s="2" t="s">
        <v>17</v>
      </c>
      <c r="K120" s="2" t="s">
        <v>18</v>
      </c>
      <c r="L120" s="2" t="s">
        <v>19</v>
      </c>
      <c r="M120" s="4" t="str">
        <f t="shared" si="2"/>
        <v>Voluntary</v>
      </c>
      <c r="N120" s="23" t="s">
        <v>20</v>
      </c>
    </row>
    <row r="121" spans="1:14" x14ac:dyDescent="0.25">
      <c r="A121" s="22">
        <v>1524</v>
      </c>
      <c r="B121" s="3">
        <v>36198</v>
      </c>
      <c r="C121" s="3">
        <v>43920</v>
      </c>
      <c r="D121" s="2">
        <f t="shared" si="3"/>
        <v>21</v>
      </c>
      <c r="E121" s="4" t="str" cm="1">
        <f t="array" ref="E121">_xlfn.IFS(
D121&lt;=5,"Newcomer",
D121&lt;=10,"Proficient",
D121&gt;10,"Expert"
)</f>
        <v>Expert</v>
      </c>
      <c r="F121" s="2" t="s">
        <v>14</v>
      </c>
      <c r="G121" s="5" t="s">
        <v>45</v>
      </c>
      <c r="H121" s="5" t="s">
        <v>93</v>
      </c>
      <c r="I121" s="2">
        <v>35</v>
      </c>
      <c r="J121" s="2" t="s">
        <v>24</v>
      </c>
      <c r="K121" s="2" t="s">
        <v>25</v>
      </c>
      <c r="L121" s="2" t="s">
        <v>19</v>
      </c>
      <c r="M121" s="4" t="str">
        <f t="shared" si="2"/>
        <v>Voluntary</v>
      </c>
      <c r="N121" s="23" t="s">
        <v>20</v>
      </c>
    </row>
    <row r="122" spans="1:14" x14ac:dyDescent="0.25">
      <c r="A122" s="22">
        <v>1527</v>
      </c>
      <c r="B122" s="3">
        <v>39773</v>
      </c>
      <c r="C122" s="3">
        <v>43841</v>
      </c>
      <c r="D122" s="2">
        <f t="shared" si="3"/>
        <v>12</v>
      </c>
      <c r="E122" s="4" t="str" cm="1">
        <f t="array" ref="E122">_xlfn.IFS(
D122&lt;=5,"Newcomer",
D122&lt;=10,"Proficient",
D122&gt;10,"Expert"
)</f>
        <v>Expert</v>
      </c>
      <c r="F122" s="2" t="s">
        <v>73</v>
      </c>
      <c r="G122" s="5" t="s">
        <v>62</v>
      </c>
      <c r="H122" s="5" t="s">
        <v>63</v>
      </c>
      <c r="I122" s="2">
        <v>32</v>
      </c>
      <c r="J122" s="2" t="s">
        <v>24</v>
      </c>
      <c r="K122" s="2" t="s">
        <v>25</v>
      </c>
      <c r="L122" s="2" t="s">
        <v>19</v>
      </c>
      <c r="M122" s="4" t="str">
        <f t="shared" si="2"/>
        <v>Voluntary</v>
      </c>
      <c r="N122" s="23" t="s">
        <v>26</v>
      </c>
    </row>
    <row r="123" spans="1:14" x14ac:dyDescent="0.25">
      <c r="A123" s="22">
        <v>1528</v>
      </c>
      <c r="B123" s="3">
        <v>32988</v>
      </c>
      <c r="C123" s="3">
        <v>44090</v>
      </c>
      <c r="D123" s="2">
        <f t="shared" si="3"/>
        <v>30</v>
      </c>
      <c r="E123" s="4" t="str" cm="1">
        <f t="array" ref="E123">_xlfn.IFS(
D123&lt;=5,"Newcomer",
D123&lt;=10,"Proficient",
D123&gt;10,"Expert"
)</f>
        <v>Expert</v>
      </c>
      <c r="F123" s="2" t="s">
        <v>30</v>
      </c>
      <c r="G123" s="5" t="s">
        <v>35</v>
      </c>
      <c r="H123" s="5" t="s">
        <v>76</v>
      </c>
      <c r="I123" s="2">
        <v>37</v>
      </c>
      <c r="J123" s="2" t="s">
        <v>17</v>
      </c>
      <c r="K123" s="2" t="s">
        <v>18</v>
      </c>
      <c r="L123" s="2" t="s">
        <v>19</v>
      </c>
      <c r="M123" s="4" t="str">
        <f t="shared" si="2"/>
        <v>Voluntary</v>
      </c>
      <c r="N123" s="23" t="s">
        <v>26</v>
      </c>
    </row>
    <row r="124" spans="1:14" x14ac:dyDescent="0.25">
      <c r="A124" s="22">
        <v>1529</v>
      </c>
      <c r="B124" s="3">
        <v>37352</v>
      </c>
      <c r="C124" s="3">
        <v>43898</v>
      </c>
      <c r="D124" s="2">
        <f t="shared" si="3"/>
        <v>18</v>
      </c>
      <c r="E124" s="4" t="str" cm="1">
        <f t="array" ref="E124">_xlfn.IFS(
D124&lt;=5,"Newcomer",
D124&lt;=10,"Proficient",
D124&gt;10,"Expert"
)</f>
        <v>Expert</v>
      </c>
      <c r="F124" s="2" t="s">
        <v>14</v>
      </c>
      <c r="G124" s="5" t="s">
        <v>45</v>
      </c>
      <c r="H124" s="5" t="s">
        <v>93</v>
      </c>
      <c r="I124" s="2">
        <v>35</v>
      </c>
      <c r="J124" s="2" t="s">
        <v>17</v>
      </c>
      <c r="K124" s="2" t="s">
        <v>18</v>
      </c>
      <c r="L124" s="2" t="s">
        <v>19</v>
      </c>
      <c r="M124" s="4" t="str">
        <f t="shared" si="2"/>
        <v>Voluntary</v>
      </c>
      <c r="N124" s="23" t="s">
        <v>20</v>
      </c>
    </row>
    <row r="125" spans="1:14" x14ac:dyDescent="0.25">
      <c r="A125" s="22">
        <v>1530</v>
      </c>
      <c r="B125" s="3">
        <v>35876</v>
      </c>
      <c r="C125" s="3">
        <v>44186</v>
      </c>
      <c r="D125" s="2">
        <f t="shared" si="3"/>
        <v>22</v>
      </c>
      <c r="E125" s="4" t="str" cm="1">
        <f t="array" ref="E125">_xlfn.IFS(
D125&lt;=5,"Newcomer",
D125&lt;=10,"Proficient",
D125&gt;10,"Expert"
)</f>
        <v>Expert</v>
      </c>
      <c r="F125" s="2" t="s">
        <v>66</v>
      </c>
      <c r="G125" s="5" t="s">
        <v>71</v>
      </c>
      <c r="H125" s="5" t="s">
        <v>72</v>
      </c>
      <c r="I125" s="2">
        <v>36</v>
      </c>
      <c r="J125" s="2" t="s">
        <v>24</v>
      </c>
      <c r="K125" s="2" t="s">
        <v>25</v>
      </c>
      <c r="L125" s="2" t="s">
        <v>19</v>
      </c>
      <c r="M125" s="4" t="str">
        <f t="shared" si="2"/>
        <v>Voluntary</v>
      </c>
      <c r="N125" s="23" t="s">
        <v>26</v>
      </c>
    </row>
    <row r="126" spans="1:14" x14ac:dyDescent="0.25">
      <c r="A126" s="22">
        <v>1532</v>
      </c>
      <c r="B126" s="3">
        <v>33526</v>
      </c>
      <c r="C126" s="3">
        <v>43884</v>
      </c>
      <c r="D126" s="2">
        <f t="shared" si="3"/>
        <v>29</v>
      </c>
      <c r="E126" s="4" t="str" cm="1">
        <f t="array" ref="E126">_xlfn.IFS(
D126&lt;=5,"Newcomer",
D126&lt;=10,"Proficient",
D126&gt;10,"Expert"
)</f>
        <v>Expert</v>
      </c>
      <c r="F126" s="2" t="s">
        <v>41</v>
      </c>
      <c r="G126" s="5" t="s">
        <v>62</v>
      </c>
      <c r="H126" s="5" t="s">
        <v>63</v>
      </c>
      <c r="I126" s="2">
        <v>15</v>
      </c>
      <c r="J126" s="2" t="s">
        <v>17</v>
      </c>
      <c r="K126" s="2" t="s">
        <v>18</v>
      </c>
      <c r="L126" s="2" t="s">
        <v>19</v>
      </c>
      <c r="M126" s="4" t="str">
        <f t="shared" si="2"/>
        <v>Voluntary</v>
      </c>
      <c r="N126" s="23" t="s">
        <v>26</v>
      </c>
    </row>
    <row r="127" spans="1:14" x14ac:dyDescent="0.25">
      <c r="A127" s="22">
        <v>1533</v>
      </c>
      <c r="B127" s="3">
        <v>34490</v>
      </c>
      <c r="C127" s="3">
        <v>43910</v>
      </c>
      <c r="D127" s="2">
        <f t="shared" si="3"/>
        <v>26</v>
      </c>
      <c r="E127" s="4" t="str" cm="1">
        <f t="array" ref="E127">_xlfn.IFS(
D127&lt;=5,"Newcomer",
D127&lt;=10,"Proficient",
D127&gt;10,"Expert"
)</f>
        <v>Expert</v>
      </c>
      <c r="F127" s="2" t="s">
        <v>14</v>
      </c>
      <c r="G127" s="5" t="s">
        <v>45</v>
      </c>
      <c r="H127" s="5" t="s">
        <v>93</v>
      </c>
      <c r="I127" s="2">
        <v>35</v>
      </c>
      <c r="J127" s="2" t="s">
        <v>24</v>
      </c>
      <c r="K127" s="2" t="s">
        <v>25</v>
      </c>
      <c r="L127" s="2" t="s">
        <v>19</v>
      </c>
      <c r="M127" s="4" t="str">
        <f t="shared" si="2"/>
        <v>Voluntary</v>
      </c>
      <c r="N127" s="23" t="s">
        <v>20</v>
      </c>
    </row>
    <row r="128" spans="1:14" x14ac:dyDescent="0.25">
      <c r="A128" s="22">
        <v>1534</v>
      </c>
      <c r="B128" s="3">
        <v>36716</v>
      </c>
      <c r="C128" s="3">
        <v>43991</v>
      </c>
      <c r="D128" s="2">
        <f t="shared" si="3"/>
        <v>20</v>
      </c>
      <c r="E128" s="4" t="str" cm="1">
        <f t="array" ref="E128">_xlfn.IFS(
D128&lt;=5,"Newcomer",
D128&lt;=10,"Proficient",
D128&gt;10,"Expert"
)</f>
        <v>Expert</v>
      </c>
      <c r="F128" s="2" t="s">
        <v>86</v>
      </c>
      <c r="G128" s="5" t="s">
        <v>42</v>
      </c>
      <c r="H128" s="5" t="s">
        <v>43</v>
      </c>
      <c r="I128" s="2">
        <v>8</v>
      </c>
      <c r="J128" s="2" t="s">
        <v>24</v>
      </c>
      <c r="K128" s="2" t="s">
        <v>25</v>
      </c>
      <c r="L128" s="2" t="s">
        <v>19</v>
      </c>
      <c r="M128" s="4" t="str">
        <f t="shared" si="2"/>
        <v>Voluntary</v>
      </c>
      <c r="N128" s="23" t="s">
        <v>26</v>
      </c>
    </row>
    <row r="129" spans="1:14" x14ac:dyDescent="0.25">
      <c r="A129" s="22">
        <v>1535</v>
      </c>
      <c r="B129" s="3">
        <v>38015</v>
      </c>
      <c r="C129" s="3">
        <v>43837</v>
      </c>
      <c r="D129" s="2">
        <f t="shared" si="3"/>
        <v>16</v>
      </c>
      <c r="E129" s="4" t="str" cm="1">
        <f t="array" ref="E129">_xlfn.IFS(
D129&lt;=5,"Newcomer",
D129&lt;=10,"Proficient",
D129&gt;10,"Expert"
)</f>
        <v>Expert</v>
      </c>
      <c r="F129" s="2" t="s">
        <v>14</v>
      </c>
      <c r="G129" s="5" t="s">
        <v>45</v>
      </c>
      <c r="H129" s="5" t="s">
        <v>93</v>
      </c>
      <c r="I129" s="2">
        <v>35</v>
      </c>
      <c r="J129" s="2" t="s">
        <v>17</v>
      </c>
      <c r="K129" s="2" t="s">
        <v>18</v>
      </c>
      <c r="L129" s="2" t="s">
        <v>19</v>
      </c>
      <c r="M129" s="4" t="str">
        <f t="shared" si="2"/>
        <v>Voluntary</v>
      </c>
      <c r="N129" s="23" t="s">
        <v>20</v>
      </c>
    </row>
    <row r="130" spans="1:14" x14ac:dyDescent="0.25">
      <c r="A130" s="22">
        <v>1536</v>
      </c>
      <c r="B130" s="3">
        <v>36682</v>
      </c>
      <c r="C130" s="3">
        <v>43942</v>
      </c>
      <c r="D130" s="2">
        <f t="shared" si="3"/>
        <v>20</v>
      </c>
      <c r="E130" s="4" t="str" cm="1">
        <f t="array" ref="E130">_xlfn.IFS(
D130&lt;=5,"Newcomer",
D130&lt;=10,"Proficient",
D130&gt;10,"Expert"
)</f>
        <v>Expert</v>
      </c>
      <c r="F130" s="2" t="s">
        <v>41</v>
      </c>
      <c r="G130" s="5" t="s">
        <v>67</v>
      </c>
      <c r="H130" s="5" t="s">
        <v>68</v>
      </c>
      <c r="I130" s="2">
        <v>15</v>
      </c>
      <c r="J130" s="2" t="s">
        <v>17</v>
      </c>
      <c r="K130" s="2" t="s">
        <v>18</v>
      </c>
      <c r="L130" s="2" t="s">
        <v>19</v>
      </c>
      <c r="M130" s="4" t="str">
        <f t="shared" ref="M130:M193" si="4">IF(OR(L130="Retirement",L130="Resignation"),"Voluntary","Involuntary")</f>
        <v>Voluntary</v>
      </c>
      <c r="N130" s="23" t="s">
        <v>26</v>
      </c>
    </row>
    <row r="131" spans="1:14" x14ac:dyDescent="0.25">
      <c r="A131" s="22">
        <v>1538</v>
      </c>
      <c r="B131" s="3">
        <v>32997</v>
      </c>
      <c r="C131" s="3">
        <v>43916</v>
      </c>
      <c r="D131" s="2">
        <f t="shared" ref="D131:D194" si="5">YEAR(C131)-YEAR(B131)</f>
        <v>30</v>
      </c>
      <c r="E131" s="4" t="str" cm="1">
        <f t="array" ref="E131">_xlfn.IFS(
D131&lt;=5,"Newcomer",
D131&lt;=10,"Proficient",
D131&gt;10,"Expert"
)</f>
        <v>Expert</v>
      </c>
      <c r="F131" s="2" t="s">
        <v>14</v>
      </c>
      <c r="G131" s="5" t="s">
        <v>54</v>
      </c>
      <c r="H131" s="5" t="s">
        <v>94</v>
      </c>
      <c r="I131" s="2">
        <v>35</v>
      </c>
      <c r="J131" s="2" t="s">
        <v>24</v>
      </c>
      <c r="K131" s="2" t="s">
        <v>25</v>
      </c>
      <c r="L131" s="2" t="s">
        <v>19</v>
      </c>
      <c r="M131" s="4" t="str">
        <f t="shared" si="4"/>
        <v>Voluntary</v>
      </c>
      <c r="N131" s="23" t="s">
        <v>20</v>
      </c>
    </row>
    <row r="132" spans="1:14" x14ac:dyDescent="0.25">
      <c r="A132" s="22">
        <v>1541</v>
      </c>
      <c r="B132" s="3">
        <v>42069</v>
      </c>
      <c r="C132" s="3">
        <v>44144</v>
      </c>
      <c r="D132" s="2">
        <f t="shared" si="5"/>
        <v>5</v>
      </c>
      <c r="E132" s="4" t="str" cm="1">
        <f t="array" ref="E132">_xlfn.IFS(
D132&lt;=5,"Newcomer",
D132&lt;=10,"Proficient",
D132&gt;10,"Expert"
)</f>
        <v>Newcomer</v>
      </c>
      <c r="F132" s="2" t="s">
        <v>66</v>
      </c>
      <c r="G132" s="5" t="s">
        <v>35</v>
      </c>
      <c r="H132" s="5" t="s">
        <v>76</v>
      </c>
      <c r="I132" s="2">
        <v>36</v>
      </c>
      <c r="J132" s="2" t="s">
        <v>24</v>
      </c>
      <c r="K132" s="2" t="s">
        <v>25</v>
      </c>
      <c r="L132" s="2" t="s">
        <v>19</v>
      </c>
      <c r="M132" s="4" t="str">
        <f t="shared" si="4"/>
        <v>Voluntary</v>
      </c>
      <c r="N132" s="23" t="s">
        <v>26</v>
      </c>
    </row>
    <row r="133" spans="1:14" x14ac:dyDescent="0.25">
      <c r="A133" s="22">
        <v>1542</v>
      </c>
      <c r="B133" s="3">
        <v>38634</v>
      </c>
      <c r="C133" s="3">
        <v>43947</v>
      </c>
      <c r="D133" s="2">
        <f t="shared" si="5"/>
        <v>15</v>
      </c>
      <c r="E133" s="4" t="str" cm="1">
        <f t="array" ref="E133">_xlfn.IFS(
D133&lt;=5,"Newcomer",
D133&lt;=10,"Proficient",
D133&gt;10,"Expert"
)</f>
        <v>Expert</v>
      </c>
      <c r="F133" s="2" t="s">
        <v>86</v>
      </c>
      <c r="G133" s="5" t="s">
        <v>47</v>
      </c>
      <c r="H133" s="5" t="s">
        <v>48</v>
      </c>
      <c r="I133" s="2">
        <v>8</v>
      </c>
      <c r="J133" s="2" t="s">
        <v>24</v>
      </c>
      <c r="K133" s="2" t="s">
        <v>25</v>
      </c>
      <c r="L133" s="2" t="s">
        <v>19</v>
      </c>
      <c r="M133" s="4" t="str">
        <f t="shared" si="4"/>
        <v>Voluntary</v>
      </c>
      <c r="N133" s="23" t="s">
        <v>26</v>
      </c>
    </row>
    <row r="134" spans="1:14" x14ac:dyDescent="0.25">
      <c r="A134" s="22">
        <v>1543</v>
      </c>
      <c r="B134" s="3">
        <v>42103</v>
      </c>
      <c r="C134" s="3">
        <v>44013</v>
      </c>
      <c r="D134" s="2">
        <f t="shared" si="5"/>
        <v>5</v>
      </c>
      <c r="E134" s="4" t="str" cm="1">
        <f t="array" ref="E134">_xlfn.IFS(
D134&lt;=5,"Newcomer",
D134&lt;=10,"Proficient",
D134&gt;10,"Expert"
)</f>
        <v>Newcomer</v>
      </c>
      <c r="F134" s="2" t="s">
        <v>14</v>
      </c>
      <c r="G134" s="5" t="s">
        <v>54</v>
      </c>
      <c r="H134" s="5" t="s">
        <v>94</v>
      </c>
      <c r="I134" s="2">
        <v>35</v>
      </c>
      <c r="J134" s="2" t="s">
        <v>24</v>
      </c>
      <c r="K134" s="2" t="s">
        <v>25</v>
      </c>
      <c r="L134" s="2" t="s">
        <v>19</v>
      </c>
      <c r="M134" s="4" t="str">
        <f t="shared" si="4"/>
        <v>Voluntary</v>
      </c>
      <c r="N134" s="23" t="s">
        <v>20</v>
      </c>
    </row>
    <row r="135" spans="1:14" x14ac:dyDescent="0.25">
      <c r="A135" s="22">
        <v>1544</v>
      </c>
      <c r="B135" s="3">
        <v>37028</v>
      </c>
      <c r="C135" s="3">
        <v>44136</v>
      </c>
      <c r="D135" s="2">
        <f t="shared" si="5"/>
        <v>19</v>
      </c>
      <c r="E135" s="4" t="str" cm="1">
        <f t="array" ref="E135">_xlfn.IFS(
D135&lt;=5,"Newcomer",
D135&lt;=10,"Proficient",
D135&gt;10,"Expert"
)</f>
        <v>Expert</v>
      </c>
      <c r="F135" s="2" t="s">
        <v>89</v>
      </c>
      <c r="G135" s="5" t="s">
        <v>35</v>
      </c>
      <c r="H135" s="5" t="s">
        <v>36</v>
      </c>
      <c r="I135" s="2">
        <v>33</v>
      </c>
      <c r="J135" s="2" t="s">
        <v>17</v>
      </c>
      <c r="K135" s="2" t="s">
        <v>18</v>
      </c>
      <c r="L135" s="2" t="s">
        <v>19</v>
      </c>
      <c r="M135" s="4" t="str">
        <f t="shared" si="4"/>
        <v>Voluntary</v>
      </c>
      <c r="N135" s="23" t="s">
        <v>26</v>
      </c>
    </row>
    <row r="136" spans="1:14" x14ac:dyDescent="0.25">
      <c r="A136" s="22">
        <v>1545</v>
      </c>
      <c r="B136" s="3">
        <v>41264</v>
      </c>
      <c r="C136" s="3">
        <v>44011</v>
      </c>
      <c r="D136" s="2">
        <f t="shared" si="5"/>
        <v>8</v>
      </c>
      <c r="E136" s="4" t="str" cm="1">
        <f t="array" ref="E136">_xlfn.IFS(
D136&lt;=5,"Newcomer",
D136&lt;=10,"Proficient",
D136&gt;10,"Expert"
)</f>
        <v>Proficient</v>
      </c>
      <c r="F136" s="2" t="s">
        <v>74</v>
      </c>
      <c r="G136" s="5" t="s">
        <v>47</v>
      </c>
      <c r="H136" s="5" t="s">
        <v>95</v>
      </c>
      <c r="I136" s="2">
        <v>9</v>
      </c>
      <c r="J136" s="2" t="s">
        <v>24</v>
      </c>
      <c r="K136" s="2" t="s">
        <v>25</v>
      </c>
      <c r="L136" s="2" t="s">
        <v>96</v>
      </c>
      <c r="M136" s="4" t="str">
        <f t="shared" si="4"/>
        <v>Involuntary</v>
      </c>
      <c r="N136" s="23" t="s">
        <v>26</v>
      </c>
    </row>
    <row r="137" spans="1:14" x14ac:dyDescent="0.25">
      <c r="A137" s="22">
        <v>1546</v>
      </c>
      <c r="B137" s="3">
        <v>41694</v>
      </c>
      <c r="C137" s="3">
        <v>44036</v>
      </c>
      <c r="D137" s="2">
        <f t="shared" si="5"/>
        <v>6</v>
      </c>
      <c r="E137" s="4" t="str" cm="1">
        <f t="array" ref="E137">_xlfn.IFS(
D137&lt;=5,"Newcomer",
D137&lt;=10,"Proficient",
D137&gt;10,"Expert"
)</f>
        <v>Proficient</v>
      </c>
      <c r="F137" s="2" t="s">
        <v>44</v>
      </c>
      <c r="G137" s="5" t="s">
        <v>67</v>
      </c>
      <c r="H137" s="5" t="s">
        <v>68</v>
      </c>
      <c r="I137" s="2">
        <v>18</v>
      </c>
      <c r="J137" s="2" t="s">
        <v>17</v>
      </c>
      <c r="K137" s="2" t="s">
        <v>18</v>
      </c>
      <c r="L137" s="2" t="s">
        <v>19</v>
      </c>
      <c r="M137" s="4" t="str">
        <f t="shared" si="4"/>
        <v>Voluntary</v>
      </c>
      <c r="N137" s="23" t="s">
        <v>26</v>
      </c>
    </row>
    <row r="138" spans="1:14" x14ac:dyDescent="0.25">
      <c r="A138" s="22">
        <v>1547</v>
      </c>
      <c r="B138" s="3">
        <v>34362</v>
      </c>
      <c r="C138" s="3">
        <v>43831</v>
      </c>
      <c r="D138" s="2">
        <f t="shared" si="5"/>
        <v>26</v>
      </c>
      <c r="E138" s="4" t="str" cm="1">
        <f t="array" ref="E138">_xlfn.IFS(
D138&lt;=5,"Newcomer",
D138&lt;=10,"Proficient",
D138&gt;10,"Expert"
)</f>
        <v>Expert</v>
      </c>
      <c r="F138" s="2" t="s">
        <v>44</v>
      </c>
      <c r="G138" s="5" t="s">
        <v>71</v>
      </c>
      <c r="H138" s="5" t="s">
        <v>72</v>
      </c>
      <c r="I138" s="2">
        <v>18</v>
      </c>
      <c r="J138" s="2" t="s">
        <v>24</v>
      </c>
      <c r="K138" s="2" t="s">
        <v>25</v>
      </c>
      <c r="L138" s="2" t="s">
        <v>19</v>
      </c>
      <c r="M138" s="4" t="str">
        <f t="shared" si="4"/>
        <v>Voluntary</v>
      </c>
      <c r="N138" s="23" t="s">
        <v>26</v>
      </c>
    </row>
    <row r="139" spans="1:14" x14ac:dyDescent="0.25">
      <c r="A139" s="22">
        <v>1548</v>
      </c>
      <c r="B139" s="3">
        <v>36378</v>
      </c>
      <c r="C139" s="3">
        <v>43960</v>
      </c>
      <c r="D139" s="2">
        <f t="shared" si="5"/>
        <v>21</v>
      </c>
      <c r="E139" s="4" t="str" cm="1">
        <f t="array" ref="E139">_xlfn.IFS(
D139&lt;=5,"Newcomer",
D139&lt;=10,"Proficient",
D139&gt;10,"Expert"
)</f>
        <v>Expert</v>
      </c>
      <c r="F139" s="2" t="s">
        <v>27</v>
      </c>
      <c r="G139" s="5" t="s">
        <v>35</v>
      </c>
      <c r="H139" s="5" t="s">
        <v>76</v>
      </c>
      <c r="I139" s="2">
        <v>16</v>
      </c>
      <c r="J139" s="2" t="s">
        <v>24</v>
      </c>
      <c r="K139" s="2" t="s">
        <v>25</v>
      </c>
      <c r="L139" s="2" t="s">
        <v>19</v>
      </c>
      <c r="M139" s="4" t="str">
        <f t="shared" si="4"/>
        <v>Voluntary</v>
      </c>
      <c r="N139" s="23" t="s">
        <v>26</v>
      </c>
    </row>
    <row r="140" spans="1:14" x14ac:dyDescent="0.25">
      <c r="A140" s="22">
        <v>1549</v>
      </c>
      <c r="B140" s="3">
        <v>40050</v>
      </c>
      <c r="C140" s="3">
        <v>44163</v>
      </c>
      <c r="D140" s="2">
        <f t="shared" si="5"/>
        <v>11</v>
      </c>
      <c r="E140" s="4" t="str" cm="1">
        <f t="array" ref="E140">_xlfn.IFS(
D140&lt;=5,"Newcomer",
D140&lt;=10,"Proficient",
D140&gt;10,"Expert"
)</f>
        <v>Expert</v>
      </c>
      <c r="F140" s="2" t="s">
        <v>44</v>
      </c>
      <c r="G140" s="5" t="s">
        <v>35</v>
      </c>
      <c r="H140" s="5" t="s">
        <v>76</v>
      </c>
      <c r="I140" s="2">
        <v>18</v>
      </c>
      <c r="J140" s="2" t="s">
        <v>17</v>
      </c>
      <c r="K140" s="2" t="s">
        <v>18</v>
      </c>
      <c r="L140" s="2" t="s">
        <v>19</v>
      </c>
      <c r="M140" s="4" t="str">
        <f t="shared" si="4"/>
        <v>Voluntary</v>
      </c>
      <c r="N140" s="23" t="s">
        <v>26</v>
      </c>
    </row>
    <row r="141" spans="1:14" x14ac:dyDescent="0.25">
      <c r="A141" s="22">
        <v>1550</v>
      </c>
      <c r="B141" s="3">
        <v>38267</v>
      </c>
      <c r="C141" s="3">
        <v>44104</v>
      </c>
      <c r="D141" s="2">
        <f t="shared" si="5"/>
        <v>16</v>
      </c>
      <c r="E141" s="4" t="str" cm="1">
        <f t="array" ref="E141">_xlfn.IFS(
D141&lt;=5,"Newcomer",
D141&lt;=10,"Proficient",
D141&gt;10,"Expert"
)</f>
        <v>Expert</v>
      </c>
      <c r="F141" s="2" t="s">
        <v>14</v>
      </c>
      <c r="G141" s="5" t="s">
        <v>54</v>
      </c>
      <c r="H141" s="5" t="s">
        <v>94</v>
      </c>
      <c r="I141" s="2">
        <v>35</v>
      </c>
      <c r="J141" s="2" t="s">
        <v>17</v>
      </c>
      <c r="K141" s="2" t="s">
        <v>18</v>
      </c>
      <c r="L141" s="2" t="s">
        <v>19</v>
      </c>
      <c r="M141" s="4" t="str">
        <f t="shared" si="4"/>
        <v>Voluntary</v>
      </c>
      <c r="N141" s="23" t="s">
        <v>20</v>
      </c>
    </row>
    <row r="142" spans="1:14" x14ac:dyDescent="0.25">
      <c r="A142" s="22">
        <v>1552</v>
      </c>
      <c r="B142" s="3">
        <v>36423</v>
      </c>
      <c r="C142" s="3">
        <v>43951</v>
      </c>
      <c r="D142" s="2">
        <f t="shared" si="5"/>
        <v>21</v>
      </c>
      <c r="E142" s="4" t="str" cm="1">
        <f t="array" ref="E142">_xlfn.IFS(
D142&lt;=5,"Newcomer",
D142&lt;=10,"Proficient",
D142&gt;10,"Expert"
)</f>
        <v>Expert</v>
      </c>
      <c r="F142" s="2" t="s">
        <v>73</v>
      </c>
      <c r="G142" s="5" t="s">
        <v>67</v>
      </c>
      <c r="H142" s="5" t="s">
        <v>68</v>
      </c>
      <c r="I142" s="2">
        <v>32</v>
      </c>
      <c r="J142" s="2" t="s">
        <v>24</v>
      </c>
      <c r="K142" s="2" t="s">
        <v>25</v>
      </c>
      <c r="L142" s="2" t="s">
        <v>19</v>
      </c>
      <c r="M142" s="4" t="str">
        <f t="shared" si="4"/>
        <v>Voluntary</v>
      </c>
      <c r="N142" s="23" t="s">
        <v>26</v>
      </c>
    </row>
    <row r="143" spans="1:14" x14ac:dyDescent="0.25">
      <c r="A143" s="22">
        <v>1553</v>
      </c>
      <c r="B143" s="3">
        <v>39805</v>
      </c>
      <c r="C143" s="3">
        <v>43839</v>
      </c>
      <c r="D143" s="2">
        <f t="shared" si="5"/>
        <v>12</v>
      </c>
      <c r="E143" s="4" t="str" cm="1">
        <f t="array" ref="E143">_xlfn.IFS(
D143&lt;=5,"Newcomer",
D143&lt;=10,"Proficient",
D143&gt;10,"Expert"
)</f>
        <v>Expert</v>
      </c>
      <c r="F143" s="2" t="s">
        <v>66</v>
      </c>
      <c r="G143" s="5" t="s">
        <v>35</v>
      </c>
      <c r="H143" s="5" t="s">
        <v>76</v>
      </c>
      <c r="I143" s="2">
        <v>36</v>
      </c>
      <c r="J143" s="2" t="s">
        <v>17</v>
      </c>
      <c r="K143" s="2" t="s">
        <v>18</v>
      </c>
      <c r="L143" s="2" t="s">
        <v>19</v>
      </c>
      <c r="M143" s="4" t="str">
        <f t="shared" si="4"/>
        <v>Voluntary</v>
      </c>
      <c r="N143" s="23" t="s">
        <v>26</v>
      </c>
    </row>
    <row r="144" spans="1:14" x14ac:dyDescent="0.25">
      <c r="A144" s="22">
        <v>1554</v>
      </c>
      <c r="B144" s="3">
        <v>35923</v>
      </c>
      <c r="C144" s="3">
        <v>44089</v>
      </c>
      <c r="D144" s="2">
        <f t="shared" si="5"/>
        <v>22</v>
      </c>
      <c r="E144" s="4" t="str" cm="1">
        <f t="array" ref="E144">_xlfn.IFS(
D144&lt;=5,"Newcomer",
D144&lt;=10,"Proficient",
D144&gt;10,"Expert"
)</f>
        <v>Expert</v>
      </c>
      <c r="F144" s="2" t="s">
        <v>30</v>
      </c>
      <c r="G144" s="5" t="s">
        <v>35</v>
      </c>
      <c r="H144" s="5" t="s">
        <v>76</v>
      </c>
      <c r="I144" s="2">
        <v>37</v>
      </c>
      <c r="J144" s="2" t="s">
        <v>17</v>
      </c>
      <c r="K144" s="2" t="s">
        <v>18</v>
      </c>
      <c r="L144" s="2" t="s">
        <v>19</v>
      </c>
      <c r="M144" s="4" t="str">
        <f t="shared" si="4"/>
        <v>Voluntary</v>
      </c>
      <c r="N144" s="23" t="s">
        <v>26</v>
      </c>
    </row>
    <row r="145" spans="1:14" x14ac:dyDescent="0.25">
      <c r="A145" s="22">
        <v>1556</v>
      </c>
      <c r="B145" s="3">
        <v>33192</v>
      </c>
      <c r="C145" s="3">
        <v>44108</v>
      </c>
      <c r="D145" s="2">
        <f t="shared" si="5"/>
        <v>30</v>
      </c>
      <c r="E145" s="4" t="str" cm="1">
        <f t="array" ref="E145">_xlfn.IFS(
D145&lt;=5,"Newcomer",
D145&lt;=10,"Proficient",
D145&gt;10,"Expert"
)</f>
        <v>Expert</v>
      </c>
      <c r="F145" s="2" t="s">
        <v>86</v>
      </c>
      <c r="G145" s="5" t="s">
        <v>62</v>
      </c>
      <c r="H145" s="5" t="s">
        <v>63</v>
      </c>
      <c r="I145" s="2">
        <v>8</v>
      </c>
      <c r="J145" s="2" t="s">
        <v>17</v>
      </c>
      <c r="K145" s="2" t="s">
        <v>18</v>
      </c>
      <c r="L145" s="2" t="s">
        <v>19</v>
      </c>
      <c r="M145" s="4" t="str">
        <f t="shared" si="4"/>
        <v>Voluntary</v>
      </c>
      <c r="N145" s="23" t="s">
        <v>26</v>
      </c>
    </row>
    <row r="146" spans="1:14" x14ac:dyDescent="0.25">
      <c r="A146" s="22">
        <v>1558</v>
      </c>
      <c r="B146" s="3">
        <v>39280</v>
      </c>
      <c r="C146" s="3">
        <v>43991</v>
      </c>
      <c r="D146" s="2">
        <f t="shared" si="5"/>
        <v>13</v>
      </c>
      <c r="E146" s="4" t="str" cm="1">
        <f t="array" ref="E146">_xlfn.IFS(
D146&lt;=5,"Newcomer",
D146&lt;=10,"Proficient",
D146&gt;10,"Expert"
)</f>
        <v>Expert</v>
      </c>
      <c r="F146" s="2" t="s">
        <v>86</v>
      </c>
      <c r="G146" s="5" t="s">
        <v>67</v>
      </c>
      <c r="H146" s="5" t="s">
        <v>68</v>
      </c>
      <c r="I146" s="2">
        <v>8</v>
      </c>
      <c r="J146" s="2" t="s">
        <v>24</v>
      </c>
      <c r="K146" s="2" t="s">
        <v>25</v>
      </c>
      <c r="L146" s="2" t="s">
        <v>19</v>
      </c>
      <c r="M146" s="4" t="str">
        <f t="shared" si="4"/>
        <v>Voluntary</v>
      </c>
      <c r="N146" s="23" t="s">
        <v>26</v>
      </c>
    </row>
    <row r="147" spans="1:14" x14ac:dyDescent="0.25">
      <c r="A147" s="22">
        <v>1559</v>
      </c>
      <c r="B147" s="3">
        <v>32923</v>
      </c>
      <c r="C147" s="3">
        <v>43938</v>
      </c>
      <c r="D147" s="2">
        <f t="shared" si="5"/>
        <v>30</v>
      </c>
      <c r="E147" s="4" t="str" cm="1">
        <f t="array" ref="E147">_xlfn.IFS(
D147&lt;=5,"Newcomer",
D147&lt;=10,"Proficient",
D147&gt;10,"Expert"
)</f>
        <v>Expert</v>
      </c>
      <c r="F147" s="2" t="s">
        <v>14</v>
      </c>
      <c r="G147" s="5" t="s">
        <v>56</v>
      </c>
      <c r="H147" s="5" t="s">
        <v>97</v>
      </c>
      <c r="I147" s="2">
        <v>35</v>
      </c>
      <c r="J147" s="2" t="s">
        <v>17</v>
      </c>
      <c r="K147" s="2" t="s">
        <v>18</v>
      </c>
      <c r="L147" s="2" t="s">
        <v>19</v>
      </c>
      <c r="M147" s="4" t="str">
        <f t="shared" si="4"/>
        <v>Voluntary</v>
      </c>
      <c r="N147" s="23" t="s">
        <v>20</v>
      </c>
    </row>
    <row r="148" spans="1:14" x14ac:dyDescent="0.25">
      <c r="A148" s="22">
        <v>1560</v>
      </c>
      <c r="B148" s="3">
        <v>42064</v>
      </c>
      <c r="C148" s="3">
        <v>43938</v>
      </c>
      <c r="D148" s="2">
        <f t="shared" si="5"/>
        <v>5</v>
      </c>
      <c r="E148" s="4" t="str" cm="1">
        <f t="array" ref="E148">_xlfn.IFS(
D148&lt;=5,"Newcomer",
D148&lt;=10,"Proficient",
D148&gt;10,"Expert"
)</f>
        <v>Newcomer</v>
      </c>
      <c r="F148" s="2" t="s">
        <v>14</v>
      </c>
      <c r="G148" s="5" t="s">
        <v>56</v>
      </c>
      <c r="H148" s="5" t="s">
        <v>97</v>
      </c>
      <c r="I148" s="2">
        <v>35</v>
      </c>
      <c r="J148" s="2" t="s">
        <v>24</v>
      </c>
      <c r="K148" s="2" t="s">
        <v>25</v>
      </c>
      <c r="L148" s="2" t="s">
        <v>19</v>
      </c>
      <c r="M148" s="4" t="str">
        <f t="shared" si="4"/>
        <v>Voluntary</v>
      </c>
      <c r="N148" s="23" t="s">
        <v>20</v>
      </c>
    </row>
    <row r="149" spans="1:14" x14ac:dyDescent="0.25">
      <c r="A149" s="22">
        <v>1562</v>
      </c>
      <c r="B149" s="3">
        <v>37144</v>
      </c>
      <c r="C149" s="3">
        <v>44032</v>
      </c>
      <c r="D149" s="2">
        <f t="shared" si="5"/>
        <v>19</v>
      </c>
      <c r="E149" s="4" t="str" cm="1">
        <f t="array" ref="E149">_xlfn.IFS(
D149&lt;=5,"Newcomer",
D149&lt;=10,"Proficient",
D149&gt;10,"Expert"
)</f>
        <v>Expert</v>
      </c>
      <c r="F149" s="2" t="s">
        <v>49</v>
      </c>
      <c r="G149" s="5" t="s">
        <v>42</v>
      </c>
      <c r="H149" s="5" t="s">
        <v>43</v>
      </c>
      <c r="I149" s="2">
        <v>12</v>
      </c>
      <c r="J149" s="2" t="s">
        <v>24</v>
      </c>
      <c r="K149" s="2" t="s">
        <v>25</v>
      </c>
      <c r="L149" s="2" t="s">
        <v>19</v>
      </c>
      <c r="M149" s="4" t="str">
        <f t="shared" si="4"/>
        <v>Voluntary</v>
      </c>
      <c r="N149" s="23" t="s">
        <v>26</v>
      </c>
    </row>
    <row r="150" spans="1:14" x14ac:dyDescent="0.25">
      <c r="A150" s="22">
        <v>1566</v>
      </c>
      <c r="B150" s="3">
        <v>40942</v>
      </c>
      <c r="C150" s="3">
        <v>43995</v>
      </c>
      <c r="D150" s="2">
        <f t="shared" si="5"/>
        <v>8</v>
      </c>
      <c r="E150" s="4" t="str" cm="1">
        <f t="array" ref="E150">_xlfn.IFS(
D150&lt;=5,"Newcomer",
D150&lt;=10,"Proficient",
D150&gt;10,"Expert"
)</f>
        <v>Proficient</v>
      </c>
      <c r="F150" s="2" t="s">
        <v>14</v>
      </c>
      <c r="G150" s="5" t="s">
        <v>56</v>
      </c>
      <c r="H150" s="5" t="s">
        <v>97</v>
      </c>
      <c r="I150" s="2">
        <v>35</v>
      </c>
      <c r="J150" s="2" t="s">
        <v>17</v>
      </c>
      <c r="K150" s="2" t="s">
        <v>18</v>
      </c>
      <c r="L150" s="2" t="s">
        <v>19</v>
      </c>
      <c r="M150" s="4" t="str">
        <f t="shared" si="4"/>
        <v>Voluntary</v>
      </c>
      <c r="N150" s="23" t="s">
        <v>20</v>
      </c>
    </row>
    <row r="151" spans="1:14" x14ac:dyDescent="0.25">
      <c r="A151" s="22">
        <v>1567</v>
      </c>
      <c r="B151" s="3">
        <v>36861</v>
      </c>
      <c r="C151" s="3">
        <v>44167</v>
      </c>
      <c r="D151" s="2">
        <f t="shared" si="5"/>
        <v>20</v>
      </c>
      <c r="E151" s="4" t="str" cm="1">
        <f t="array" ref="E151">_xlfn.IFS(
D151&lt;=5,"Newcomer",
D151&lt;=10,"Proficient",
D151&gt;10,"Expert"
)</f>
        <v>Expert</v>
      </c>
      <c r="F151" s="2" t="s">
        <v>27</v>
      </c>
      <c r="G151" s="5" t="s">
        <v>35</v>
      </c>
      <c r="H151" s="5" t="s">
        <v>76</v>
      </c>
      <c r="I151" s="2">
        <v>16</v>
      </c>
      <c r="J151" s="2" t="s">
        <v>24</v>
      </c>
      <c r="K151" s="2" t="s">
        <v>25</v>
      </c>
      <c r="L151" s="2" t="s">
        <v>19</v>
      </c>
      <c r="M151" s="4" t="str">
        <f t="shared" si="4"/>
        <v>Voluntary</v>
      </c>
      <c r="N151" s="23" t="s">
        <v>26</v>
      </c>
    </row>
    <row r="152" spans="1:14" x14ac:dyDescent="0.25">
      <c r="A152" s="22">
        <v>1568</v>
      </c>
      <c r="B152" s="3">
        <v>37581</v>
      </c>
      <c r="C152" s="3">
        <v>43945</v>
      </c>
      <c r="D152" s="2">
        <f t="shared" si="5"/>
        <v>18</v>
      </c>
      <c r="E152" s="4" t="str" cm="1">
        <f t="array" ref="E152">_xlfn.IFS(
D152&lt;=5,"Newcomer",
D152&lt;=10,"Proficient",
D152&gt;10,"Expert"
)</f>
        <v>Expert</v>
      </c>
      <c r="F152" s="2" t="s">
        <v>77</v>
      </c>
      <c r="G152" s="5" t="s">
        <v>42</v>
      </c>
      <c r="H152" s="5" t="s">
        <v>43</v>
      </c>
      <c r="I152" s="2">
        <v>30</v>
      </c>
      <c r="J152" s="2" t="s">
        <v>24</v>
      </c>
      <c r="K152" s="2" t="s">
        <v>25</v>
      </c>
      <c r="L152" s="2" t="s">
        <v>19</v>
      </c>
      <c r="M152" s="4" t="str">
        <f t="shared" si="4"/>
        <v>Voluntary</v>
      </c>
      <c r="N152" s="23" t="s">
        <v>26</v>
      </c>
    </row>
    <row r="153" spans="1:14" x14ac:dyDescent="0.25">
      <c r="A153" s="22">
        <v>1569</v>
      </c>
      <c r="B153" s="3">
        <v>38575</v>
      </c>
      <c r="C153" s="3">
        <v>43974</v>
      </c>
      <c r="D153" s="2">
        <f t="shared" si="5"/>
        <v>15</v>
      </c>
      <c r="E153" s="4" t="str" cm="1">
        <f t="array" ref="E153">_xlfn.IFS(
D153&lt;=5,"Newcomer",
D153&lt;=10,"Proficient",
D153&gt;10,"Expert"
)</f>
        <v>Expert</v>
      </c>
      <c r="F153" s="2" t="s">
        <v>44</v>
      </c>
      <c r="G153" s="5" t="s">
        <v>35</v>
      </c>
      <c r="H153" s="5" t="s">
        <v>76</v>
      </c>
      <c r="I153" s="2">
        <v>18</v>
      </c>
      <c r="J153" s="2" t="s">
        <v>17</v>
      </c>
      <c r="K153" s="2" t="s">
        <v>18</v>
      </c>
      <c r="L153" s="2" t="s">
        <v>19</v>
      </c>
      <c r="M153" s="4" t="str">
        <f t="shared" si="4"/>
        <v>Voluntary</v>
      </c>
      <c r="N153" s="23" t="s">
        <v>26</v>
      </c>
    </row>
    <row r="154" spans="1:14" x14ac:dyDescent="0.25">
      <c r="A154" s="22">
        <v>1571</v>
      </c>
      <c r="B154" s="3">
        <v>41167</v>
      </c>
      <c r="C154" s="3">
        <v>43894</v>
      </c>
      <c r="D154" s="2">
        <f t="shared" si="5"/>
        <v>8</v>
      </c>
      <c r="E154" s="4" t="str" cm="1">
        <f t="array" ref="E154">_xlfn.IFS(
D154&lt;=5,"Newcomer",
D154&lt;=10,"Proficient",
D154&gt;10,"Expert"
)</f>
        <v>Proficient</v>
      </c>
      <c r="F154" s="2" t="s">
        <v>14</v>
      </c>
      <c r="G154" s="5" t="s">
        <v>58</v>
      </c>
      <c r="H154" s="5" t="s">
        <v>98</v>
      </c>
      <c r="I154" s="2">
        <v>35</v>
      </c>
      <c r="J154" s="2" t="s">
        <v>24</v>
      </c>
      <c r="K154" s="2" t="s">
        <v>25</v>
      </c>
      <c r="L154" s="2" t="s">
        <v>19</v>
      </c>
      <c r="M154" s="4" t="str">
        <f t="shared" si="4"/>
        <v>Voluntary</v>
      </c>
      <c r="N154" s="23" t="s">
        <v>20</v>
      </c>
    </row>
    <row r="155" spans="1:14" x14ac:dyDescent="0.25">
      <c r="A155" s="22">
        <v>1573</v>
      </c>
      <c r="B155" s="3">
        <v>42035</v>
      </c>
      <c r="C155" s="3">
        <v>43881</v>
      </c>
      <c r="D155" s="2">
        <f t="shared" si="5"/>
        <v>5</v>
      </c>
      <c r="E155" s="4" t="str" cm="1">
        <f t="array" ref="E155">_xlfn.IFS(
D155&lt;=5,"Newcomer",
D155&lt;=10,"Proficient",
D155&gt;10,"Expert"
)</f>
        <v>Newcomer</v>
      </c>
      <c r="F155" s="2" t="s">
        <v>89</v>
      </c>
      <c r="G155" s="5" t="s">
        <v>47</v>
      </c>
      <c r="H155" s="5" t="s">
        <v>48</v>
      </c>
      <c r="I155" s="2">
        <v>33</v>
      </c>
      <c r="J155" s="2" t="s">
        <v>17</v>
      </c>
      <c r="K155" s="2" t="s">
        <v>18</v>
      </c>
      <c r="L155" s="2" t="s">
        <v>19</v>
      </c>
      <c r="M155" s="4" t="str">
        <f t="shared" si="4"/>
        <v>Voluntary</v>
      </c>
      <c r="N155" s="23" t="s">
        <v>26</v>
      </c>
    </row>
    <row r="156" spans="1:14" x14ac:dyDescent="0.25">
      <c r="A156" s="22">
        <v>1574</v>
      </c>
      <c r="B156" s="3">
        <v>36765</v>
      </c>
      <c r="C156" s="3">
        <v>44179</v>
      </c>
      <c r="D156" s="2">
        <f t="shared" si="5"/>
        <v>20</v>
      </c>
      <c r="E156" s="4" t="str" cm="1">
        <f t="array" ref="E156">_xlfn.IFS(
D156&lt;=5,"Newcomer",
D156&lt;=10,"Proficient",
D156&gt;10,"Expert"
)</f>
        <v>Expert</v>
      </c>
      <c r="F156" s="2" t="s">
        <v>89</v>
      </c>
      <c r="G156" s="5" t="s">
        <v>62</v>
      </c>
      <c r="H156" s="5" t="s">
        <v>63</v>
      </c>
      <c r="I156" s="2">
        <v>33</v>
      </c>
      <c r="J156" s="2" t="s">
        <v>17</v>
      </c>
      <c r="K156" s="2" t="s">
        <v>18</v>
      </c>
      <c r="L156" s="2" t="s">
        <v>19</v>
      </c>
      <c r="M156" s="4" t="str">
        <f t="shared" si="4"/>
        <v>Voluntary</v>
      </c>
      <c r="N156" s="23" t="s">
        <v>26</v>
      </c>
    </row>
    <row r="157" spans="1:14" x14ac:dyDescent="0.25">
      <c r="A157" s="22">
        <v>1575</v>
      </c>
      <c r="B157" s="3">
        <v>35491</v>
      </c>
      <c r="C157" s="3">
        <v>43871</v>
      </c>
      <c r="D157" s="2">
        <f t="shared" si="5"/>
        <v>23</v>
      </c>
      <c r="E157" s="4" t="str" cm="1">
        <f t="array" ref="E157">_xlfn.IFS(
D157&lt;=5,"Newcomer",
D157&lt;=10,"Proficient",
D157&gt;10,"Expert"
)</f>
        <v>Expert</v>
      </c>
      <c r="F157" s="2" t="s">
        <v>44</v>
      </c>
      <c r="G157" s="5" t="s">
        <v>35</v>
      </c>
      <c r="H157" s="5" t="s">
        <v>76</v>
      </c>
      <c r="I157" s="2">
        <v>18</v>
      </c>
      <c r="J157" s="2" t="s">
        <v>17</v>
      </c>
      <c r="K157" s="2" t="s">
        <v>18</v>
      </c>
      <c r="L157" s="2" t="s">
        <v>19</v>
      </c>
      <c r="M157" s="4" t="str">
        <f t="shared" si="4"/>
        <v>Voluntary</v>
      </c>
      <c r="N157" s="23" t="s">
        <v>26</v>
      </c>
    </row>
    <row r="158" spans="1:14" x14ac:dyDescent="0.25">
      <c r="A158" s="22">
        <v>1578</v>
      </c>
      <c r="B158" s="3">
        <v>38795</v>
      </c>
      <c r="C158" s="3">
        <v>43912</v>
      </c>
      <c r="D158" s="2">
        <f t="shared" si="5"/>
        <v>14</v>
      </c>
      <c r="E158" s="4" t="str" cm="1">
        <f t="array" ref="E158">_xlfn.IFS(
D158&lt;=5,"Newcomer",
D158&lt;=10,"Proficient",
D158&gt;10,"Expert"
)</f>
        <v>Expert</v>
      </c>
      <c r="F158" s="2" t="s">
        <v>14</v>
      </c>
      <c r="G158" s="5" t="s">
        <v>58</v>
      </c>
      <c r="H158" s="5" t="s">
        <v>98</v>
      </c>
      <c r="I158" s="2">
        <v>35</v>
      </c>
      <c r="J158" s="2" t="s">
        <v>24</v>
      </c>
      <c r="K158" s="2" t="s">
        <v>25</v>
      </c>
      <c r="L158" s="2" t="s">
        <v>19</v>
      </c>
      <c r="M158" s="4" t="str">
        <f t="shared" si="4"/>
        <v>Voluntary</v>
      </c>
      <c r="N158" s="23" t="s">
        <v>20</v>
      </c>
    </row>
    <row r="159" spans="1:14" x14ac:dyDescent="0.25">
      <c r="A159" s="22">
        <v>1579</v>
      </c>
      <c r="B159" s="3">
        <v>38868</v>
      </c>
      <c r="C159" s="3">
        <v>43916</v>
      </c>
      <c r="D159" s="2">
        <f t="shared" si="5"/>
        <v>14</v>
      </c>
      <c r="E159" s="4" t="str" cm="1">
        <f t="array" ref="E159">_xlfn.IFS(
D159&lt;=5,"Newcomer",
D159&lt;=10,"Proficient",
D159&gt;10,"Expert"
)</f>
        <v>Expert</v>
      </c>
      <c r="F159" s="2" t="s">
        <v>14</v>
      </c>
      <c r="G159" s="5" t="s">
        <v>58</v>
      </c>
      <c r="H159" s="5" t="s">
        <v>98</v>
      </c>
      <c r="I159" s="2">
        <v>35</v>
      </c>
      <c r="J159" s="2" t="s">
        <v>24</v>
      </c>
      <c r="K159" s="2" t="s">
        <v>25</v>
      </c>
      <c r="L159" s="2" t="s">
        <v>19</v>
      </c>
      <c r="M159" s="4" t="str">
        <f t="shared" si="4"/>
        <v>Voluntary</v>
      </c>
      <c r="N159" s="23" t="s">
        <v>20</v>
      </c>
    </row>
    <row r="160" spans="1:14" x14ac:dyDescent="0.25">
      <c r="A160" s="22">
        <v>1580</v>
      </c>
      <c r="B160" s="3">
        <v>37073</v>
      </c>
      <c r="C160" s="3">
        <v>44014</v>
      </c>
      <c r="D160" s="2">
        <f t="shared" si="5"/>
        <v>19</v>
      </c>
      <c r="E160" s="4" t="str" cm="1">
        <f t="array" ref="E160">_xlfn.IFS(
D160&lt;=5,"Newcomer",
D160&lt;=10,"Proficient",
D160&gt;10,"Expert"
)</f>
        <v>Expert</v>
      </c>
      <c r="F160" s="2" t="s">
        <v>49</v>
      </c>
      <c r="G160" s="5" t="s">
        <v>47</v>
      </c>
      <c r="H160" s="5" t="s">
        <v>48</v>
      </c>
      <c r="I160" s="2">
        <v>12</v>
      </c>
      <c r="J160" s="2" t="s">
        <v>24</v>
      </c>
      <c r="K160" s="2" t="s">
        <v>25</v>
      </c>
      <c r="L160" s="2" t="s">
        <v>19</v>
      </c>
      <c r="M160" s="4" t="str">
        <f t="shared" si="4"/>
        <v>Voluntary</v>
      </c>
      <c r="N160" s="23" t="s">
        <v>26</v>
      </c>
    </row>
    <row r="161" spans="1:14" x14ac:dyDescent="0.25">
      <c r="A161" s="22">
        <v>1581</v>
      </c>
      <c r="B161" s="3">
        <v>41840</v>
      </c>
      <c r="C161" s="3">
        <v>43986</v>
      </c>
      <c r="D161" s="2">
        <f t="shared" si="5"/>
        <v>6</v>
      </c>
      <c r="E161" s="4" t="str" cm="1">
        <f t="array" ref="E161">_xlfn.IFS(
D161&lt;=5,"Newcomer",
D161&lt;=10,"Proficient",
D161&gt;10,"Expert"
)</f>
        <v>Proficient</v>
      </c>
      <c r="F161" s="2" t="s">
        <v>77</v>
      </c>
      <c r="G161" s="5" t="s">
        <v>47</v>
      </c>
      <c r="H161" s="5" t="s">
        <v>48</v>
      </c>
      <c r="I161" s="2">
        <v>30</v>
      </c>
      <c r="J161" s="2" t="s">
        <v>17</v>
      </c>
      <c r="K161" s="2" t="s">
        <v>18</v>
      </c>
      <c r="L161" s="2" t="s">
        <v>19</v>
      </c>
      <c r="M161" s="4" t="str">
        <f t="shared" si="4"/>
        <v>Voluntary</v>
      </c>
      <c r="N161" s="23" t="s">
        <v>26</v>
      </c>
    </row>
    <row r="162" spans="1:14" x14ac:dyDescent="0.25">
      <c r="A162" s="22">
        <v>1585</v>
      </c>
      <c r="B162" s="3">
        <v>37227</v>
      </c>
      <c r="C162" s="3">
        <v>43849</v>
      </c>
      <c r="D162" s="2">
        <f t="shared" si="5"/>
        <v>19</v>
      </c>
      <c r="E162" s="4" t="str" cm="1">
        <f t="array" ref="E162">_xlfn.IFS(
D162&lt;=5,"Newcomer",
D162&lt;=10,"Proficient",
D162&gt;10,"Expert"
)</f>
        <v>Expert</v>
      </c>
      <c r="F162" s="2" t="s">
        <v>44</v>
      </c>
      <c r="G162" s="5" t="s">
        <v>35</v>
      </c>
      <c r="H162" s="5" t="s">
        <v>76</v>
      </c>
      <c r="I162" s="2">
        <v>18</v>
      </c>
      <c r="J162" s="2" t="s">
        <v>17</v>
      </c>
      <c r="K162" s="2" t="s">
        <v>18</v>
      </c>
      <c r="L162" s="2" t="s">
        <v>19</v>
      </c>
      <c r="M162" s="4" t="str">
        <f t="shared" si="4"/>
        <v>Voluntary</v>
      </c>
      <c r="N162" s="23" t="s">
        <v>26</v>
      </c>
    </row>
    <row r="163" spans="1:14" x14ac:dyDescent="0.25">
      <c r="A163" s="22">
        <v>1586</v>
      </c>
      <c r="B163" s="3">
        <v>33743</v>
      </c>
      <c r="C163" s="3">
        <v>44148</v>
      </c>
      <c r="D163" s="2">
        <f t="shared" si="5"/>
        <v>28</v>
      </c>
      <c r="E163" s="4" t="str" cm="1">
        <f t="array" ref="E163">_xlfn.IFS(
D163&lt;=5,"Newcomer",
D163&lt;=10,"Proficient",
D163&gt;10,"Expert"
)</f>
        <v>Expert</v>
      </c>
      <c r="F163" s="2" t="s">
        <v>30</v>
      </c>
      <c r="G163" s="5" t="s">
        <v>35</v>
      </c>
      <c r="H163" s="5" t="s">
        <v>76</v>
      </c>
      <c r="I163" s="2">
        <v>37</v>
      </c>
      <c r="J163" s="2" t="s">
        <v>17</v>
      </c>
      <c r="K163" s="2" t="s">
        <v>18</v>
      </c>
      <c r="L163" s="2" t="s">
        <v>19</v>
      </c>
      <c r="M163" s="4" t="str">
        <f t="shared" si="4"/>
        <v>Voluntary</v>
      </c>
      <c r="N163" s="23" t="s">
        <v>26</v>
      </c>
    </row>
    <row r="164" spans="1:14" x14ac:dyDescent="0.25">
      <c r="A164" s="22">
        <v>1587</v>
      </c>
      <c r="B164" s="3">
        <v>40729</v>
      </c>
      <c r="C164" s="3">
        <v>44149</v>
      </c>
      <c r="D164" s="2">
        <f t="shared" si="5"/>
        <v>9</v>
      </c>
      <c r="E164" s="4" t="str" cm="1">
        <f t="array" ref="E164">_xlfn.IFS(
D164&lt;=5,"Newcomer",
D164&lt;=10,"Proficient",
D164&gt;10,"Expert"
)</f>
        <v>Proficient</v>
      </c>
      <c r="F164" s="2" t="s">
        <v>90</v>
      </c>
      <c r="G164" s="5" t="s">
        <v>35</v>
      </c>
      <c r="H164" s="5" t="s">
        <v>36</v>
      </c>
      <c r="I164" s="2">
        <v>26</v>
      </c>
      <c r="J164" s="2" t="s">
        <v>24</v>
      </c>
      <c r="K164" s="2" t="s">
        <v>25</v>
      </c>
      <c r="L164" s="2" t="s">
        <v>19</v>
      </c>
      <c r="M164" s="4" t="str">
        <f t="shared" si="4"/>
        <v>Voluntary</v>
      </c>
      <c r="N164" s="23" t="s">
        <v>26</v>
      </c>
    </row>
    <row r="165" spans="1:14" x14ac:dyDescent="0.25">
      <c r="A165" s="22">
        <v>1588</v>
      </c>
      <c r="B165" s="3">
        <v>35808</v>
      </c>
      <c r="C165" s="3">
        <v>43920</v>
      </c>
      <c r="D165" s="2">
        <f t="shared" si="5"/>
        <v>22</v>
      </c>
      <c r="E165" s="4" t="str" cm="1">
        <f t="array" ref="E165">_xlfn.IFS(
D165&lt;=5,"Newcomer",
D165&lt;=10,"Proficient",
D165&gt;10,"Expert"
)</f>
        <v>Expert</v>
      </c>
      <c r="F165" s="2" t="s">
        <v>30</v>
      </c>
      <c r="G165" s="5" t="s">
        <v>35</v>
      </c>
      <c r="H165" s="5" t="s">
        <v>76</v>
      </c>
      <c r="I165" s="2">
        <v>37</v>
      </c>
      <c r="J165" s="2" t="s">
        <v>17</v>
      </c>
      <c r="K165" s="2" t="s">
        <v>18</v>
      </c>
      <c r="L165" s="2" t="s">
        <v>19</v>
      </c>
      <c r="M165" s="4" t="str">
        <f t="shared" si="4"/>
        <v>Voluntary</v>
      </c>
      <c r="N165" s="23" t="s">
        <v>26</v>
      </c>
    </row>
    <row r="166" spans="1:14" x14ac:dyDescent="0.25">
      <c r="A166" s="22">
        <v>1589</v>
      </c>
      <c r="B166" s="3">
        <v>35213</v>
      </c>
      <c r="C166" s="3">
        <v>44172</v>
      </c>
      <c r="D166" s="2">
        <f t="shared" si="5"/>
        <v>24</v>
      </c>
      <c r="E166" s="4" t="str" cm="1">
        <f t="array" ref="E166">_xlfn.IFS(
D166&lt;=5,"Newcomer",
D166&lt;=10,"Proficient",
D166&gt;10,"Expert"
)</f>
        <v>Expert</v>
      </c>
      <c r="F166" s="2" t="s">
        <v>41</v>
      </c>
      <c r="G166" s="5" t="s">
        <v>71</v>
      </c>
      <c r="H166" s="5" t="s">
        <v>72</v>
      </c>
      <c r="I166" s="2">
        <v>15</v>
      </c>
      <c r="J166" s="2" t="s">
        <v>24</v>
      </c>
      <c r="K166" s="2" t="s">
        <v>25</v>
      </c>
      <c r="L166" s="2" t="s">
        <v>19</v>
      </c>
      <c r="M166" s="4" t="str">
        <f t="shared" si="4"/>
        <v>Voluntary</v>
      </c>
      <c r="N166" s="23" t="s">
        <v>26</v>
      </c>
    </row>
    <row r="167" spans="1:14" x14ac:dyDescent="0.25">
      <c r="A167" s="22">
        <v>1590</v>
      </c>
      <c r="B167" s="3">
        <v>36355</v>
      </c>
      <c r="C167" s="3">
        <v>43957</v>
      </c>
      <c r="D167" s="2">
        <f t="shared" si="5"/>
        <v>21</v>
      </c>
      <c r="E167" s="4" t="str" cm="1">
        <f t="array" ref="E167">_xlfn.IFS(
D167&lt;=5,"Newcomer",
D167&lt;=10,"Proficient",
D167&gt;10,"Expert"
)</f>
        <v>Expert</v>
      </c>
      <c r="F167" s="2" t="s">
        <v>86</v>
      </c>
      <c r="G167" s="5" t="s">
        <v>71</v>
      </c>
      <c r="H167" s="5" t="s">
        <v>72</v>
      </c>
      <c r="I167" s="2">
        <v>8</v>
      </c>
      <c r="J167" s="2" t="s">
        <v>17</v>
      </c>
      <c r="K167" s="2" t="s">
        <v>18</v>
      </c>
      <c r="L167" s="2" t="s">
        <v>19</v>
      </c>
      <c r="M167" s="4" t="str">
        <f t="shared" si="4"/>
        <v>Voluntary</v>
      </c>
      <c r="N167" s="23" t="s">
        <v>26</v>
      </c>
    </row>
    <row r="168" spans="1:14" x14ac:dyDescent="0.25">
      <c r="A168" s="22">
        <v>1592</v>
      </c>
      <c r="B168" s="3">
        <v>42340</v>
      </c>
      <c r="C168" s="3">
        <v>43863</v>
      </c>
      <c r="D168" s="2">
        <f t="shared" si="5"/>
        <v>5</v>
      </c>
      <c r="E168" s="4" t="str" cm="1">
        <f t="array" ref="E168">_xlfn.IFS(
D168&lt;=5,"Newcomer",
D168&lt;=10,"Proficient",
D168&gt;10,"Expert"
)</f>
        <v>Newcomer</v>
      </c>
      <c r="F168" s="2" t="s">
        <v>14</v>
      </c>
      <c r="G168" s="5" t="s">
        <v>58</v>
      </c>
      <c r="H168" s="5" t="s">
        <v>98</v>
      </c>
      <c r="I168" s="2">
        <v>35</v>
      </c>
      <c r="J168" s="2" t="s">
        <v>24</v>
      </c>
      <c r="K168" s="2" t="s">
        <v>25</v>
      </c>
      <c r="L168" s="2" t="s">
        <v>19</v>
      </c>
      <c r="M168" s="4" t="str">
        <f t="shared" si="4"/>
        <v>Voluntary</v>
      </c>
      <c r="N168" s="23" t="s">
        <v>20</v>
      </c>
    </row>
    <row r="169" spans="1:14" x14ac:dyDescent="0.25">
      <c r="A169" s="22">
        <v>1593</v>
      </c>
      <c r="B169" s="3">
        <v>36911</v>
      </c>
      <c r="C169" s="3">
        <v>44187</v>
      </c>
      <c r="D169" s="2">
        <f t="shared" si="5"/>
        <v>19</v>
      </c>
      <c r="E169" s="4" t="str" cm="1">
        <f t="array" ref="E169">_xlfn.IFS(
D169&lt;=5,"Newcomer",
D169&lt;=10,"Proficient",
D169&gt;10,"Expert"
)</f>
        <v>Expert</v>
      </c>
      <c r="F169" s="2" t="s">
        <v>89</v>
      </c>
      <c r="G169" s="5" t="s">
        <v>67</v>
      </c>
      <c r="H169" s="5" t="s">
        <v>68</v>
      </c>
      <c r="I169" s="2">
        <v>33</v>
      </c>
      <c r="J169" s="2" t="s">
        <v>17</v>
      </c>
      <c r="K169" s="2" t="s">
        <v>18</v>
      </c>
      <c r="L169" s="2" t="s">
        <v>19</v>
      </c>
      <c r="M169" s="4" t="str">
        <f t="shared" si="4"/>
        <v>Voluntary</v>
      </c>
      <c r="N169" s="23" t="s">
        <v>26</v>
      </c>
    </row>
    <row r="170" spans="1:14" x14ac:dyDescent="0.25">
      <c r="A170" s="22">
        <v>1594</v>
      </c>
      <c r="B170" s="3">
        <v>37695</v>
      </c>
      <c r="C170" s="3">
        <v>43837</v>
      </c>
      <c r="D170" s="2">
        <f t="shared" si="5"/>
        <v>17</v>
      </c>
      <c r="E170" s="4" t="str" cm="1">
        <f t="array" ref="E170">_xlfn.IFS(
D170&lt;=5,"Newcomer",
D170&lt;=10,"Proficient",
D170&gt;10,"Expert"
)</f>
        <v>Expert</v>
      </c>
      <c r="F170" s="2" t="s">
        <v>14</v>
      </c>
      <c r="G170" s="5" t="s">
        <v>58</v>
      </c>
      <c r="H170" s="5" t="s">
        <v>98</v>
      </c>
      <c r="I170" s="2">
        <v>35</v>
      </c>
      <c r="J170" s="2" t="s">
        <v>24</v>
      </c>
      <c r="K170" s="2" t="s">
        <v>25</v>
      </c>
      <c r="L170" s="2" t="s">
        <v>19</v>
      </c>
      <c r="M170" s="4" t="str">
        <f t="shared" si="4"/>
        <v>Voluntary</v>
      </c>
      <c r="N170" s="23" t="s">
        <v>20</v>
      </c>
    </row>
    <row r="171" spans="1:14" x14ac:dyDescent="0.25">
      <c r="A171" s="22">
        <v>1595</v>
      </c>
      <c r="B171" s="3">
        <v>34326</v>
      </c>
      <c r="C171" s="3">
        <v>44118</v>
      </c>
      <c r="D171" s="2">
        <f t="shared" si="5"/>
        <v>27</v>
      </c>
      <c r="E171" s="4" t="str" cm="1">
        <f t="array" ref="E171">_xlfn.IFS(
D171&lt;=5,"Newcomer",
D171&lt;=10,"Proficient",
D171&gt;10,"Expert"
)</f>
        <v>Expert</v>
      </c>
      <c r="F171" s="2" t="s">
        <v>73</v>
      </c>
      <c r="G171" s="5" t="s">
        <v>71</v>
      </c>
      <c r="H171" s="5" t="s">
        <v>72</v>
      </c>
      <c r="I171" s="2">
        <v>32</v>
      </c>
      <c r="J171" s="2" t="s">
        <v>24</v>
      </c>
      <c r="K171" s="2" t="s">
        <v>25</v>
      </c>
      <c r="L171" s="2" t="s">
        <v>19</v>
      </c>
      <c r="M171" s="4" t="str">
        <f t="shared" si="4"/>
        <v>Voluntary</v>
      </c>
      <c r="N171" s="23" t="s">
        <v>26</v>
      </c>
    </row>
    <row r="172" spans="1:14" x14ac:dyDescent="0.25">
      <c r="A172" s="22">
        <v>1596</v>
      </c>
      <c r="B172" s="3">
        <v>40371</v>
      </c>
      <c r="C172" s="3">
        <v>44077</v>
      </c>
      <c r="D172" s="2">
        <f t="shared" si="5"/>
        <v>10</v>
      </c>
      <c r="E172" s="4" t="str" cm="1">
        <f t="array" ref="E172">_xlfn.IFS(
D172&lt;=5,"Newcomer",
D172&lt;=10,"Proficient",
D172&gt;10,"Expert"
)</f>
        <v>Proficient</v>
      </c>
      <c r="F172" s="2" t="s">
        <v>14</v>
      </c>
      <c r="G172" s="5" t="s">
        <v>60</v>
      </c>
      <c r="H172" s="5" t="s">
        <v>99</v>
      </c>
      <c r="I172" s="2">
        <v>35</v>
      </c>
      <c r="J172" s="2" t="s">
        <v>17</v>
      </c>
      <c r="K172" s="2" t="s">
        <v>18</v>
      </c>
      <c r="L172" s="2" t="s">
        <v>19</v>
      </c>
      <c r="M172" s="4" t="str">
        <f t="shared" si="4"/>
        <v>Voluntary</v>
      </c>
      <c r="N172" s="23" t="s">
        <v>20</v>
      </c>
    </row>
    <row r="173" spans="1:14" x14ac:dyDescent="0.25">
      <c r="A173" s="22">
        <v>1597</v>
      </c>
      <c r="B173" s="3">
        <v>40563</v>
      </c>
      <c r="C173" s="3">
        <v>44025</v>
      </c>
      <c r="D173" s="2">
        <f t="shared" si="5"/>
        <v>9</v>
      </c>
      <c r="E173" s="4" t="str" cm="1">
        <f t="array" ref="E173">_xlfn.IFS(
D173&lt;=5,"Newcomer",
D173&lt;=10,"Proficient",
D173&gt;10,"Expert"
)</f>
        <v>Proficient</v>
      </c>
      <c r="F173" s="2" t="s">
        <v>14</v>
      </c>
      <c r="G173" s="5" t="s">
        <v>60</v>
      </c>
      <c r="H173" s="5" t="s">
        <v>99</v>
      </c>
      <c r="I173" s="2">
        <v>35</v>
      </c>
      <c r="J173" s="2" t="s">
        <v>17</v>
      </c>
      <c r="K173" s="2" t="s">
        <v>18</v>
      </c>
      <c r="L173" s="2" t="s">
        <v>19</v>
      </c>
      <c r="M173" s="4" t="str">
        <f t="shared" si="4"/>
        <v>Voluntary</v>
      </c>
      <c r="N173" s="23" t="s">
        <v>20</v>
      </c>
    </row>
    <row r="174" spans="1:14" x14ac:dyDescent="0.25">
      <c r="A174" s="22">
        <v>1598</v>
      </c>
      <c r="B174" s="3">
        <v>42101</v>
      </c>
      <c r="C174" s="3">
        <v>44179</v>
      </c>
      <c r="D174" s="2">
        <f t="shared" si="5"/>
        <v>5</v>
      </c>
      <c r="E174" s="4" t="str" cm="1">
        <f t="array" ref="E174">_xlfn.IFS(
D174&lt;=5,"Newcomer",
D174&lt;=10,"Proficient",
D174&gt;10,"Expert"
)</f>
        <v>Newcomer</v>
      </c>
      <c r="F174" s="2" t="s">
        <v>14</v>
      </c>
      <c r="G174" s="5" t="s">
        <v>60</v>
      </c>
      <c r="H174" s="5" t="s">
        <v>99</v>
      </c>
      <c r="I174" s="2">
        <v>35</v>
      </c>
      <c r="J174" s="2" t="s">
        <v>24</v>
      </c>
      <c r="K174" s="2" t="s">
        <v>25</v>
      </c>
      <c r="L174" s="2" t="s">
        <v>19</v>
      </c>
      <c r="M174" s="4" t="str">
        <f t="shared" si="4"/>
        <v>Voluntary</v>
      </c>
      <c r="N174" s="23" t="s">
        <v>20</v>
      </c>
    </row>
    <row r="175" spans="1:14" x14ac:dyDescent="0.25">
      <c r="A175" s="22">
        <v>1599</v>
      </c>
      <c r="B175" s="3">
        <v>39258</v>
      </c>
      <c r="C175" s="3">
        <v>44016</v>
      </c>
      <c r="D175" s="2">
        <f t="shared" si="5"/>
        <v>13</v>
      </c>
      <c r="E175" s="4" t="str" cm="1">
        <f t="array" ref="E175">_xlfn.IFS(
D175&lt;=5,"Newcomer",
D175&lt;=10,"Proficient",
D175&gt;10,"Expert"
)</f>
        <v>Expert</v>
      </c>
      <c r="F175" s="2" t="s">
        <v>53</v>
      </c>
      <c r="G175" s="5" t="s">
        <v>47</v>
      </c>
      <c r="H175" s="5" t="s">
        <v>48</v>
      </c>
      <c r="I175" s="2">
        <v>31</v>
      </c>
      <c r="J175" s="2" t="s">
        <v>17</v>
      </c>
      <c r="K175" s="2" t="s">
        <v>18</v>
      </c>
      <c r="L175" s="2" t="s">
        <v>19</v>
      </c>
      <c r="M175" s="4" t="str">
        <f t="shared" si="4"/>
        <v>Voluntary</v>
      </c>
      <c r="N175" s="23" t="s">
        <v>26</v>
      </c>
    </row>
    <row r="176" spans="1:14" x14ac:dyDescent="0.25">
      <c r="A176" s="22">
        <v>1600</v>
      </c>
      <c r="B176" s="3">
        <v>35126</v>
      </c>
      <c r="C176" s="3">
        <v>44089</v>
      </c>
      <c r="D176" s="2">
        <f t="shared" si="5"/>
        <v>24</v>
      </c>
      <c r="E176" s="4" t="str" cm="1">
        <f t="array" ref="E176">_xlfn.IFS(
D176&lt;=5,"Newcomer",
D176&lt;=10,"Proficient",
D176&gt;10,"Expert"
)</f>
        <v>Expert</v>
      </c>
      <c r="F176" s="2" t="s">
        <v>30</v>
      </c>
      <c r="G176" s="5" t="s">
        <v>35</v>
      </c>
      <c r="H176" s="5" t="s">
        <v>76</v>
      </c>
      <c r="I176" s="2">
        <v>37</v>
      </c>
      <c r="J176" s="2" t="s">
        <v>17</v>
      </c>
      <c r="K176" s="2" t="s">
        <v>18</v>
      </c>
      <c r="L176" s="2" t="s">
        <v>19</v>
      </c>
      <c r="M176" s="4" t="str">
        <f t="shared" si="4"/>
        <v>Voluntary</v>
      </c>
      <c r="N176" s="23" t="s">
        <v>26</v>
      </c>
    </row>
    <row r="177" spans="1:14" x14ac:dyDescent="0.25">
      <c r="A177" s="22">
        <v>1603</v>
      </c>
      <c r="B177" s="3">
        <v>37870</v>
      </c>
      <c r="C177" s="3">
        <v>44091</v>
      </c>
      <c r="D177" s="2">
        <f t="shared" si="5"/>
        <v>17</v>
      </c>
      <c r="E177" s="4" t="str" cm="1">
        <f t="array" ref="E177">_xlfn.IFS(
D177&lt;=5,"Newcomer",
D177&lt;=10,"Proficient",
D177&gt;10,"Expert"
)</f>
        <v>Expert</v>
      </c>
      <c r="F177" s="2" t="s">
        <v>14</v>
      </c>
      <c r="G177" s="5" t="s">
        <v>22</v>
      </c>
      <c r="H177" s="5" t="s">
        <v>23</v>
      </c>
      <c r="I177" s="2">
        <v>41</v>
      </c>
      <c r="J177" s="2" t="s">
        <v>24</v>
      </c>
      <c r="K177" s="2" t="s">
        <v>25</v>
      </c>
      <c r="L177" s="2" t="s">
        <v>19</v>
      </c>
      <c r="M177" s="4" t="str">
        <f t="shared" si="4"/>
        <v>Voluntary</v>
      </c>
      <c r="N177" s="23" t="s">
        <v>26</v>
      </c>
    </row>
    <row r="178" spans="1:14" x14ac:dyDescent="0.25">
      <c r="A178" s="22">
        <v>1610</v>
      </c>
      <c r="B178" s="3">
        <v>38898</v>
      </c>
      <c r="C178" s="3">
        <v>44056</v>
      </c>
      <c r="D178" s="2">
        <f t="shared" si="5"/>
        <v>14</v>
      </c>
      <c r="E178" s="4" t="str" cm="1">
        <f t="array" ref="E178">_xlfn.IFS(
D178&lt;=5,"Newcomer",
D178&lt;=10,"Proficient",
D178&gt;10,"Expert"
)</f>
        <v>Expert</v>
      </c>
      <c r="F178" s="2" t="s">
        <v>44</v>
      </c>
      <c r="G178" s="5" t="s">
        <v>35</v>
      </c>
      <c r="H178" s="5" t="s">
        <v>76</v>
      </c>
      <c r="I178" s="2">
        <v>18</v>
      </c>
      <c r="J178" s="2" t="s">
        <v>17</v>
      </c>
      <c r="K178" s="2" t="s">
        <v>18</v>
      </c>
      <c r="L178" s="2" t="s">
        <v>19</v>
      </c>
      <c r="M178" s="4" t="str">
        <f t="shared" si="4"/>
        <v>Voluntary</v>
      </c>
      <c r="N178" s="23" t="s">
        <v>26</v>
      </c>
    </row>
    <row r="179" spans="1:14" x14ac:dyDescent="0.25">
      <c r="A179" s="22">
        <v>1611</v>
      </c>
      <c r="B179" s="3">
        <v>39951</v>
      </c>
      <c r="C179" s="3">
        <v>44179</v>
      </c>
      <c r="D179" s="2">
        <f t="shared" si="5"/>
        <v>11</v>
      </c>
      <c r="E179" s="4" t="str" cm="1">
        <f t="array" ref="E179">_xlfn.IFS(
D179&lt;=5,"Newcomer",
D179&lt;=10,"Proficient",
D179&gt;10,"Expert"
)</f>
        <v>Expert</v>
      </c>
      <c r="F179" s="2" t="s">
        <v>14</v>
      </c>
      <c r="G179" s="5" t="s">
        <v>35</v>
      </c>
      <c r="H179" s="5" t="s">
        <v>36</v>
      </c>
      <c r="I179" s="2">
        <v>41</v>
      </c>
      <c r="J179" s="2" t="s">
        <v>17</v>
      </c>
      <c r="K179" s="2" t="s">
        <v>18</v>
      </c>
      <c r="L179" s="2" t="s">
        <v>19</v>
      </c>
      <c r="M179" s="4" t="str">
        <f t="shared" si="4"/>
        <v>Voluntary</v>
      </c>
      <c r="N179" s="23" t="s">
        <v>26</v>
      </c>
    </row>
    <row r="180" spans="1:14" x14ac:dyDescent="0.25">
      <c r="A180" s="22">
        <v>1612</v>
      </c>
      <c r="B180" s="3">
        <v>39823</v>
      </c>
      <c r="C180" s="3">
        <v>44017</v>
      </c>
      <c r="D180" s="2">
        <f t="shared" si="5"/>
        <v>11</v>
      </c>
      <c r="E180" s="4" t="str" cm="1">
        <f t="array" ref="E180">_xlfn.IFS(
D180&lt;=5,"Newcomer",
D180&lt;=10,"Proficient",
D180&gt;10,"Expert"
)</f>
        <v>Expert</v>
      </c>
      <c r="F180" s="2" t="s">
        <v>14</v>
      </c>
      <c r="G180" s="5" t="s">
        <v>42</v>
      </c>
      <c r="H180" s="5" t="s">
        <v>43</v>
      </c>
      <c r="I180" s="2">
        <v>41</v>
      </c>
      <c r="J180" s="2" t="s">
        <v>24</v>
      </c>
      <c r="K180" s="2" t="s">
        <v>25</v>
      </c>
      <c r="L180" s="2" t="s">
        <v>19</v>
      </c>
      <c r="M180" s="4" t="str">
        <f t="shared" si="4"/>
        <v>Voluntary</v>
      </c>
      <c r="N180" s="23" t="s">
        <v>26</v>
      </c>
    </row>
    <row r="181" spans="1:14" x14ac:dyDescent="0.25">
      <c r="A181" s="22">
        <v>1613</v>
      </c>
      <c r="B181" s="3">
        <v>39653</v>
      </c>
      <c r="C181" s="3">
        <v>43859</v>
      </c>
      <c r="D181" s="2">
        <f t="shared" si="5"/>
        <v>12</v>
      </c>
      <c r="E181" s="4" t="str" cm="1">
        <f t="array" ref="E181">_xlfn.IFS(
D181&lt;=5,"Newcomer",
D181&lt;=10,"Proficient",
D181&gt;10,"Expert"
)</f>
        <v>Expert</v>
      </c>
      <c r="F181" s="2" t="s">
        <v>100</v>
      </c>
      <c r="G181" s="5" t="s">
        <v>22</v>
      </c>
      <c r="H181" s="5" t="s">
        <v>23</v>
      </c>
      <c r="I181" s="2">
        <v>13</v>
      </c>
      <c r="J181" s="2" t="s">
        <v>17</v>
      </c>
      <c r="K181" s="2" t="s">
        <v>18</v>
      </c>
      <c r="L181" s="2" t="s">
        <v>96</v>
      </c>
      <c r="M181" s="4" t="str">
        <f t="shared" si="4"/>
        <v>Involuntary</v>
      </c>
      <c r="N181" s="23" t="s">
        <v>26</v>
      </c>
    </row>
    <row r="182" spans="1:14" x14ac:dyDescent="0.25">
      <c r="A182" s="22">
        <v>1615</v>
      </c>
      <c r="B182" s="3">
        <v>35678</v>
      </c>
      <c r="C182" s="3">
        <v>43906</v>
      </c>
      <c r="D182" s="2">
        <f t="shared" si="5"/>
        <v>23</v>
      </c>
      <c r="E182" s="4" t="str" cm="1">
        <f t="array" ref="E182">_xlfn.IFS(
D182&lt;=5,"Newcomer",
D182&lt;=10,"Proficient",
D182&gt;10,"Expert"
)</f>
        <v>Expert</v>
      </c>
      <c r="F182" s="2" t="s">
        <v>101</v>
      </c>
      <c r="G182" s="5" t="s">
        <v>22</v>
      </c>
      <c r="H182" s="5" t="s">
        <v>23</v>
      </c>
      <c r="I182" s="2">
        <v>38</v>
      </c>
      <c r="J182" s="2" t="s">
        <v>24</v>
      </c>
      <c r="K182" s="2" t="s">
        <v>25</v>
      </c>
      <c r="L182" s="2" t="s">
        <v>19</v>
      </c>
      <c r="M182" s="4" t="str">
        <f t="shared" si="4"/>
        <v>Voluntary</v>
      </c>
      <c r="N182" s="23" t="s">
        <v>26</v>
      </c>
    </row>
    <row r="183" spans="1:14" x14ac:dyDescent="0.25">
      <c r="A183" s="22">
        <v>1616</v>
      </c>
      <c r="B183" s="3">
        <v>40921</v>
      </c>
      <c r="C183" s="3">
        <v>44191</v>
      </c>
      <c r="D183" s="2">
        <f t="shared" si="5"/>
        <v>8</v>
      </c>
      <c r="E183" s="4" t="str" cm="1">
        <f t="array" ref="E183">_xlfn.IFS(
D183&lt;=5,"Newcomer",
D183&lt;=10,"Proficient",
D183&gt;10,"Expert"
)</f>
        <v>Proficient</v>
      </c>
      <c r="F183" s="2" t="s">
        <v>53</v>
      </c>
      <c r="G183" s="5" t="s">
        <v>62</v>
      </c>
      <c r="H183" s="5" t="s">
        <v>63</v>
      </c>
      <c r="I183" s="2">
        <v>31</v>
      </c>
      <c r="J183" s="2" t="s">
        <v>24</v>
      </c>
      <c r="K183" s="2" t="s">
        <v>25</v>
      </c>
      <c r="L183" s="2" t="s">
        <v>19</v>
      </c>
      <c r="M183" s="4" t="str">
        <f t="shared" si="4"/>
        <v>Voluntary</v>
      </c>
      <c r="N183" s="23" t="s">
        <v>26</v>
      </c>
    </row>
    <row r="184" spans="1:14" x14ac:dyDescent="0.25">
      <c r="A184" s="22">
        <v>1617</v>
      </c>
      <c r="B184" s="3">
        <v>36012</v>
      </c>
      <c r="C184" s="3">
        <v>44039</v>
      </c>
      <c r="D184" s="2">
        <f t="shared" si="5"/>
        <v>22</v>
      </c>
      <c r="E184" s="4" t="str" cm="1">
        <f t="array" ref="E184">_xlfn.IFS(
D184&lt;=5,"Newcomer",
D184&lt;=10,"Proficient",
D184&gt;10,"Expert"
)</f>
        <v>Expert</v>
      </c>
      <c r="F184" s="2" t="s">
        <v>30</v>
      </c>
      <c r="G184" s="5" t="s">
        <v>35</v>
      </c>
      <c r="H184" s="5" t="s">
        <v>76</v>
      </c>
      <c r="I184" s="2">
        <v>37</v>
      </c>
      <c r="J184" s="2" t="s">
        <v>24</v>
      </c>
      <c r="K184" s="2" t="s">
        <v>25</v>
      </c>
      <c r="L184" s="2" t="s">
        <v>19</v>
      </c>
      <c r="M184" s="4" t="str">
        <f t="shared" si="4"/>
        <v>Voluntary</v>
      </c>
      <c r="N184" s="23" t="s">
        <v>26</v>
      </c>
    </row>
    <row r="185" spans="1:14" x14ac:dyDescent="0.25">
      <c r="A185" s="22">
        <v>1618</v>
      </c>
      <c r="B185" s="3">
        <v>38698</v>
      </c>
      <c r="C185" s="3">
        <v>44086</v>
      </c>
      <c r="D185" s="2">
        <f t="shared" si="5"/>
        <v>15</v>
      </c>
      <c r="E185" s="4" t="str" cm="1">
        <f t="array" ref="E185">_xlfn.IFS(
D185&lt;=5,"Newcomer",
D185&lt;=10,"Proficient",
D185&gt;10,"Expert"
)</f>
        <v>Expert</v>
      </c>
      <c r="F185" s="2" t="s">
        <v>14</v>
      </c>
      <c r="G185" s="5" t="s">
        <v>47</v>
      </c>
      <c r="H185" s="5" t="s">
        <v>48</v>
      </c>
      <c r="I185" s="2">
        <v>41</v>
      </c>
      <c r="J185" s="2" t="s">
        <v>24</v>
      </c>
      <c r="K185" s="2" t="s">
        <v>25</v>
      </c>
      <c r="L185" s="2" t="s">
        <v>19</v>
      </c>
      <c r="M185" s="4" t="str">
        <f t="shared" si="4"/>
        <v>Voluntary</v>
      </c>
      <c r="N185" s="23" t="s">
        <v>26</v>
      </c>
    </row>
    <row r="186" spans="1:14" x14ac:dyDescent="0.25">
      <c r="A186" s="22">
        <v>1619</v>
      </c>
      <c r="B186" s="3">
        <v>37051</v>
      </c>
      <c r="C186" s="3">
        <v>43869</v>
      </c>
      <c r="D186" s="2">
        <f t="shared" si="5"/>
        <v>19</v>
      </c>
      <c r="E186" s="4" t="str" cm="1">
        <f t="array" ref="E186">_xlfn.IFS(
D186&lt;=5,"Newcomer",
D186&lt;=10,"Proficient",
D186&gt;10,"Expert"
)</f>
        <v>Expert</v>
      </c>
      <c r="F186" s="2" t="s">
        <v>44</v>
      </c>
      <c r="G186" s="5" t="s">
        <v>35</v>
      </c>
      <c r="H186" s="5" t="s">
        <v>76</v>
      </c>
      <c r="I186" s="2">
        <v>18</v>
      </c>
      <c r="J186" s="2" t="s">
        <v>24</v>
      </c>
      <c r="K186" s="2" t="s">
        <v>25</v>
      </c>
      <c r="L186" s="2" t="s">
        <v>19</v>
      </c>
      <c r="M186" s="4" t="str">
        <f t="shared" si="4"/>
        <v>Voluntary</v>
      </c>
      <c r="N186" s="23" t="s">
        <v>26</v>
      </c>
    </row>
    <row r="187" spans="1:14" x14ac:dyDescent="0.25">
      <c r="A187" s="22">
        <v>1621</v>
      </c>
      <c r="B187" s="3">
        <v>33573</v>
      </c>
      <c r="C187" s="3">
        <v>44049</v>
      </c>
      <c r="D187" s="2">
        <f t="shared" si="5"/>
        <v>29</v>
      </c>
      <c r="E187" s="4" t="str" cm="1">
        <f t="array" ref="E187">_xlfn.IFS(
D187&lt;=5,"Newcomer",
D187&lt;=10,"Proficient",
D187&gt;10,"Expert"
)</f>
        <v>Expert</v>
      </c>
      <c r="F187" s="2" t="s">
        <v>30</v>
      </c>
      <c r="G187" s="5" t="s">
        <v>35</v>
      </c>
      <c r="H187" s="5" t="s">
        <v>76</v>
      </c>
      <c r="I187" s="2">
        <v>37</v>
      </c>
      <c r="J187" s="2" t="s">
        <v>24</v>
      </c>
      <c r="K187" s="2" t="s">
        <v>25</v>
      </c>
      <c r="L187" s="2" t="s">
        <v>19</v>
      </c>
      <c r="M187" s="4" t="str">
        <f t="shared" si="4"/>
        <v>Voluntary</v>
      </c>
      <c r="N187" s="23" t="s">
        <v>26</v>
      </c>
    </row>
    <row r="188" spans="1:14" x14ac:dyDescent="0.25">
      <c r="A188" s="22">
        <v>1624</v>
      </c>
      <c r="B188" s="3">
        <v>37911</v>
      </c>
      <c r="C188" s="3">
        <v>44053</v>
      </c>
      <c r="D188" s="2">
        <f t="shared" si="5"/>
        <v>17</v>
      </c>
      <c r="E188" s="4" t="str" cm="1">
        <f t="array" ref="E188">_xlfn.IFS(
D188&lt;=5,"Newcomer",
D188&lt;=10,"Proficient",
D188&gt;10,"Expert"
)</f>
        <v>Expert</v>
      </c>
      <c r="F188" s="2" t="s">
        <v>14</v>
      </c>
      <c r="G188" s="5" t="s">
        <v>62</v>
      </c>
      <c r="H188" s="5" t="s">
        <v>63</v>
      </c>
      <c r="I188" s="2">
        <v>41</v>
      </c>
      <c r="J188" s="2" t="s">
        <v>24</v>
      </c>
      <c r="K188" s="2" t="s">
        <v>25</v>
      </c>
      <c r="L188" s="2" t="s">
        <v>50</v>
      </c>
      <c r="M188" s="4" t="str">
        <f t="shared" si="4"/>
        <v>Voluntary</v>
      </c>
      <c r="N188" s="23" t="s">
        <v>26</v>
      </c>
    </row>
    <row r="189" spans="1:14" x14ac:dyDescent="0.25">
      <c r="A189" s="22">
        <v>1627</v>
      </c>
      <c r="B189" s="3">
        <v>40024</v>
      </c>
      <c r="C189" s="3">
        <v>43926</v>
      </c>
      <c r="D189" s="2">
        <f t="shared" si="5"/>
        <v>11</v>
      </c>
      <c r="E189" s="4" t="str" cm="1">
        <f t="array" ref="E189">_xlfn.IFS(
D189&lt;=5,"Newcomer",
D189&lt;=10,"Proficient",
D189&gt;10,"Expert"
)</f>
        <v>Expert</v>
      </c>
      <c r="F189" s="2" t="s">
        <v>14</v>
      </c>
      <c r="G189" s="5" t="s">
        <v>67</v>
      </c>
      <c r="H189" s="5" t="s">
        <v>68</v>
      </c>
      <c r="I189" s="2">
        <v>41</v>
      </c>
      <c r="J189" s="2" t="s">
        <v>24</v>
      </c>
      <c r="K189" s="2" t="s">
        <v>25</v>
      </c>
      <c r="L189" s="2" t="s">
        <v>19</v>
      </c>
      <c r="M189" s="4" t="str">
        <f t="shared" si="4"/>
        <v>Voluntary</v>
      </c>
      <c r="N189" s="23" t="s">
        <v>26</v>
      </c>
    </row>
    <row r="190" spans="1:14" x14ac:dyDescent="0.25">
      <c r="A190" s="22">
        <v>1628</v>
      </c>
      <c r="B190" s="3">
        <v>41024</v>
      </c>
      <c r="C190" s="3">
        <v>43959</v>
      </c>
      <c r="D190" s="2">
        <f t="shared" si="5"/>
        <v>8</v>
      </c>
      <c r="E190" s="4" t="str" cm="1">
        <f t="array" ref="E190">_xlfn.IFS(
D190&lt;=5,"Newcomer",
D190&lt;=10,"Proficient",
D190&gt;10,"Expert"
)</f>
        <v>Proficient</v>
      </c>
      <c r="F190" s="2" t="s">
        <v>41</v>
      </c>
      <c r="G190" s="5" t="s">
        <v>35</v>
      </c>
      <c r="H190" s="5" t="s">
        <v>76</v>
      </c>
      <c r="I190" s="2">
        <v>15</v>
      </c>
      <c r="J190" s="2" t="s">
        <v>24</v>
      </c>
      <c r="K190" s="2" t="s">
        <v>25</v>
      </c>
      <c r="L190" s="2" t="s">
        <v>19</v>
      </c>
      <c r="M190" s="4" t="str">
        <f t="shared" si="4"/>
        <v>Voluntary</v>
      </c>
      <c r="N190" s="23" t="s">
        <v>26</v>
      </c>
    </row>
    <row r="191" spans="1:14" x14ac:dyDescent="0.25">
      <c r="A191" s="22">
        <v>1631</v>
      </c>
      <c r="B191" s="3">
        <v>34342</v>
      </c>
      <c r="C191" s="3">
        <v>43908</v>
      </c>
      <c r="D191" s="2">
        <f t="shared" si="5"/>
        <v>26</v>
      </c>
      <c r="E191" s="4" t="str" cm="1">
        <f t="array" ref="E191">_xlfn.IFS(
D191&lt;=5,"Newcomer",
D191&lt;=10,"Proficient",
D191&gt;10,"Expert"
)</f>
        <v>Expert</v>
      </c>
      <c r="F191" s="2" t="s">
        <v>14</v>
      </c>
      <c r="G191" s="5" t="s">
        <v>71</v>
      </c>
      <c r="H191" s="5" t="s">
        <v>72</v>
      </c>
      <c r="I191" s="2">
        <v>41</v>
      </c>
      <c r="J191" s="2" t="s">
        <v>24</v>
      </c>
      <c r="K191" s="2" t="s">
        <v>25</v>
      </c>
      <c r="L191" s="2" t="s">
        <v>19</v>
      </c>
      <c r="M191" s="4" t="str">
        <f t="shared" si="4"/>
        <v>Voluntary</v>
      </c>
      <c r="N191" s="23" t="s">
        <v>26</v>
      </c>
    </row>
    <row r="192" spans="1:14" x14ac:dyDescent="0.25">
      <c r="A192" s="22">
        <v>1632</v>
      </c>
      <c r="B192" s="3">
        <v>36334</v>
      </c>
      <c r="C192" s="3">
        <v>43891</v>
      </c>
      <c r="D192" s="2">
        <f t="shared" si="5"/>
        <v>21</v>
      </c>
      <c r="E192" s="4" t="str" cm="1">
        <f t="array" ref="E192">_xlfn.IFS(
D192&lt;=5,"Newcomer",
D192&lt;=10,"Proficient",
D192&gt;10,"Expert"
)</f>
        <v>Expert</v>
      </c>
      <c r="F192" s="2" t="s">
        <v>90</v>
      </c>
      <c r="G192" s="5" t="s">
        <v>42</v>
      </c>
      <c r="H192" s="5" t="s">
        <v>43</v>
      </c>
      <c r="I192" s="2">
        <v>26</v>
      </c>
      <c r="J192" s="2" t="s">
        <v>24</v>
      </c>
      <c r="K192" s="2" t="s">
        <v>25</v>
      </c>
      <c r="L192" s="2" t="s">
        <v>19</v>
      </c>
      <c r="M192" s="4" t="str">
        <f t="shared" si="4"/>
        <v>Voluntary</v>
      </c>
      <c r="N192" s="23" t="s">
        <v>26</v>
      </c>
    </row>
    <row r="193" spans="1:14" x14ac:dyDescent="0.25">
      <c r="A193" s="22">
        <v>1633</v>
      </c>
      <c r="B193" s="3">
        <v>33387</v>
      </c>
      <c r="C193" s="3">
        <v>43983</v>
      </c>
      <c r="D193" s="2">
        <f t="shared" si="5"/>
        <v>29</v>
      </c>
      <c r="E193" s="4" t="str" cm="1">
        <f t="array" ref="E193">_xlfn.IFS(
D193&lt;=5,"Newcomer",
D193&lt;=10,"Proficient",
D193&gt;10,"Expert"
)</f>
        <v>Expert</v>
      </c>
      <c r="F193" s="2" t="s">
        <v>44</v>
      </c>
      <c r="G193" s="5" t="s">
        <v>35</v>
      </c>
      <c r="H193" s="5" t="s">
        <v>76</v>
      </c>
      <c r="I193" s="2">
        <v>18</v>
      </c>
      <c r="J193" s="2" t="s">
        <v>24</v>
      </c>
      <c r="K193" s="2" t="s">
        <v>25</v>
      </c>
      <c r="L193" s="2" t="s">
        <v>19</v>
      </c>
      <c r="M193" s="4" t="str">
        <f t="shared" si="4"/>
        <v>Voluntary</v>
      </c>
      <c r="N193" s="23" t="s">
        <v>26</v>
      </c>
    </row>
    <row r="194" spans="1:14" x14ac:dyDescent="0.25">
      <c r="A194" s="22">
        <v>1634</v>
      </c>
      <c r="B194" s="3">
        <v>36802</v>
      </c>
      <c r="C194" s="3">
        <v>44187</v>
      </c>
      <c r="D194" s="2">
        <f t="shared" si="5"/>
        <v>20</v>
      </c>
      <c r="E194" s="4" t="str" cm="1">
        <f t="array" ref="E194">_xlfn.IFS(
D194&lt;=5,"Newcomer",
D194&lt;=10,"Proficient",
D194&gt;10,"Expert"
)</f>
        <v>Expert</v>
      </c>
      <c r="F194" s="2" t="s">
        <v>81</v>
      </c>
      <c r="G194" s="5" t="s">
        <v>35</v>
      </c>
      <c r="H194" s="5" t="s">
        <v>36</v>
      </c>
      <c r="I194" s="2">
        <v>5</v>
      </c>
      <c r="J194" s="2" t="s">
        <v>24</v>
      </c>
      <c r="K194" s="2" t="s">
        <v>25</v>
      </c>
      <c r="L194" s="2" t="s">
        <v>19</v>
      </c>
      <c r="M194" s="4" t="str">
        <f t="shared" ref="M194:M257" si="6">IF(OR(L194="Retirement",L194="Resignation"),"Voluntary","Involuntary")</f>
        <v>Voluntary</v>
      </c>
      <c r="N194" s="23" t="s">
        <v>26</v>
      </c>
    </row>
    <row r="195" spans="1:14" x14ac:dyDescent="0.25">
      <c r="A195" s="22">
        <v>1636</v>
      </c>
      <c r="B195" s="3">
        <v>38492</v>
      </c>
      <c r="C195" s="3">
        <v>44097</v>
      </c>
      <c r="D195" s="2">
        <f t="shared" ref="D195:D258" si="7">YEAR(C195)-YEAR(B195)</f>
        <v>15</v>
      </c>
      <c r="E195" s="4" t="str" cm="1">
        <f t="array" ref="E195">_xlfn.IFS(
D195&lt;=5,"Newcomer",
D195&lt;=10,"Proficient",
D195&gt;10,"Expert"
)</f>
        <v>Expert</v>
      </c>
      <c r="F195" s="2" t="s">
        <v>81</v>
      </c>
      <c r="G195" s="5" t="s">
        <v>42</v>
      </c>
      <c r="H195" s="5" t="s">
        <v>43</v>
      </c>
      <c r="I195" s="2">
        <v>5</v>
      </c>
      <c r="J195" s="2" t="s">
        <v>17</v>
      </c>
      <c r="K195" s="2" t="s">
        <v>18</v>
      </c>
      <c r="L195" s="2" t="s">
        <v>19</v>
      </c>
      <c r="M195" s="4" t="str">
        <f t="shared" si="6"/>
        <v>Voluntary</v>
      </c>
      <c r="N195" s="23" t="s">
        <v>26</v>
      </c>
    </row>
    <row r="196" spans="1:14" x14ac:dyDescent="0.25">
      <c r="A196" s="22">
        <v>1638</v>
      </c>
      <c r="B196" s="3">
        <v>34834</v>
      </c>
      <c r="C196" s="3">
        <v>44144</v>
      </c>
      <c r="D196" s="2">
        <f t="shared" si="7"/>
        <v>25</v>
      </c>
      <c r="E196" s="4" t="str" cm="1">
        <f t="array" ref="E196">_xlfn.IFS(
D196&lt;=5,"Newcomer",
D196&lt;=10,"Proficient",
D196&gt;10,"Expert"
)</f>
        <v>Expert</v>
      </c>
      <c r="F196" s="2" t="s">
        <v>14</v>
      </c>
      <c r="G196" s="5" t="s">
        <v>22</v>
      </c>
      <c r="H196" s="5" t="s">
        <v>23</v>
      </c>
      <c r="I196" s="2">
        <v>42</v>
      </c>
      <c r="J196" s="2" t="s">
        <v>24</v>
      </c>
      <c r="K196" s="2" t="s">
        <v>25</v>
      </c>
      <c r="L196" s="2" t="s">
        <v>19</v>
      </c>
      <c r="M196" s="4" t="str">
        <f t="shared" si="6"/>
        <v>Voluntary</v>
      </c>
      <c r="N196" s="23" t="s">
        <v>26</v>
      </c>
    </row>
    <row r="197" spans="1:14" x14ac:dyDescent="0.25">
      <c r="A197" s="22">
        <v>1640</v>
      </c>
      <c r="B197" s="3">
        <v>41397</v>
      </c>
      <c r="C197" s="3">
        <v>44131</v>
      </c>
      <c r="D197" s="2">
        <f t="shared" si="7"/>
        <v>7</v>
      </c>
      <c r="E197" s="4" t="str" cm="1">
        <f t="array" ref="E197">_xlfn.IFS(
D197&lt;=5,"Newcomer",
D197&lt;=10,"Proficient",
D197&gt;10,"Expert"
)</f>
        <v>Proficient</v>
      </c>
      <c r="F197" s="2" t="s">
        <v>27</v>
      </c>
      <c r="G197" s="5" t="s">
        <v>35</v>
      </c>
      <c r="H197" s="5" t="s">
        <v>76</v>
      </c>
      <c r="I197" s="2">
        <v>16</v>
      </c>
      <c r="J197" s="2" t="s">
        <v>17</v>
      </c>
      <c r="K197" s="2" t="s">
        <v>18</v>
      </c>
      <c r="L197" s="2" t="s">
        <v>19</v>
      </c>
      <c r="M197" s="4" t="str">
        <f t="shared" si="6"/>
        <v>Voluntary</v>
      </c>
      <c r="N197" s="23" t="s">
        <v>26</v>
      </c>
    </row>
    <row r="198" spans="1:14" x14ac:dyDescent="0.25">
      <c r="A198" s="22">
        <v>1642</v>
      </c>
      <c r="B198" s="3">
        <v>35705</v>
      </c>
      <c r="C198" s="3">
        <v>43846</v>
      </c>
      <c r="D198" s="2">
        <f t="shared" si="7"/>
        <v>23</v>
      </c>
      <c r="E198" s="4" t="str" cm="1">
        <f t="array" ref="E198">_xlfn.IFS(
D198&lt;=5,"Newcomer",
D198&lt;=10,"Proficient",
D198&gt;10,"Expert"
)</f>
        <v>Expert</v>
      </c>
      <c r="F198" s="2" t="s">
        <v>102</v>
      </c>
      <c r="G198" s="5" t="s">
        <v>22</v>
      </c>
      <c r="H198" s="5" t="s">
        <v>23</v>
      </c>
      <c r="I198" s="2">
        <v>1</v>
      </c>
      <c r="J198" s="2" t="s">
        <v>17</v>
      </c>
      <c r="K198" s="2" t="s">
        <v>18</v>
      </c>
      <c r="L198" s="2" t="s">
        <v>19</v>
      </c>
      <c r="M198" s="4" t="str">
        <f t="shared" si="6"/>
        <v>Voluntary</v>
      </c>
      <c r="N198" s="23" t="s">
        <v>26</v>
      </c>
    </row>
    <row r="199" spans="1:14" x14ac:dyDescent="0.25">
      <c r="A199" s="22">
        <v>1643</v>
      </c>
      <c r="B199" s="3">
        <v>34155</v>
      </c>
      <c r="C199" s="3">
        <v>44020</v>
      </c>
      <c r="D199" s="2">
        <f t="shared" si="7"/>
        <v>27</v>
      </c>
      <c r="E199" s="4" t="str" cm="1">
        <f t="array" ref="E199">_xlfn.IFS(
D199&lt;=5,"Newcomer",
D199&lt;=10,"Proficient",
D199&gt;10,"Expert"
)</f>
        <v>Expert</v>
      </c>
      <c r="F199" s="2" t="s">
        <v>90</v>
      </c>
      <c r="G199" s="5" t="s">
        <v>47</v>
      </c>
      <c r="H199" s="5" t="s">
        <v>48</v>
      </c>
      <c r="I199" s="2">
        <v>26</v>
      </c>
      <c r="J199" s="2" t="s">
        <v>24</v>
      </c>
      <c r="K199" s="2" t="s">
        <v>25</v>
      </c>
      <c r="L199" s="2" t="s">
        <v>19</v>
      </c>
      <c r="M199" s="4" t="str">
        <f t="shared" si="6"/>
        <v>Voluntary</v>
      </c>
      <c r="N199" s="23" t="s">
        <v>26</v>
      </c>
    </row>
    <row r="200" spans="1:14" x14ac:dyDescent="0.25">
      <c r="A200" s="22">
        <v>1644</v>
      </c>
      <c r="B200" s="3">
        <v>39461</v>
      </c>
      <c r="C200" s="3">
        <v>44076</v>
      </c>
      <c r="D200" s="2">
        <f t="shared" si="7"/>
        <v>12</v>
      </c>
      <c r="E200" s="4" t="str" cm="1">
        <f t="array" ref="E200">_xlfn.IFS(
D200&lt;=5,"Newcomer",
D200&lt;=10,"Proficient",
D200&gt;10,"Expert"
)</f>
        <v>Expert</v>
      </c>
      <c r="F200" s="2" t="s">
        <v>77</v>
      </c>
      <c r="G200" s="5" t="s">
        <v>62</v>
      </c>
      <c r="H200" s="5" t="s">
        <v>63</v>
      </c>
      <c r="I200" s="2">
        <v>30</v>
      </c>
      <c r="J200" s="2" t="s">
        <v>17</v>
      </c>
      <c r="K200" s="2" t="s">
        <v>18</v>
      </c>
      <c r="L200" s="2" t="s">
        <v>19</v>
      </c>
      <c r="M200" s="4" t="str">
        <f t="shared" si="6"/>
        <v>Voluntary</v>
      </c>
      <c r="N200" s="23" t="s">
        <v>26</v>
      </c>
    </row>
    <row r="201" spans="1:14" x14ac:dyDescent="0.25">
      <c r="A201" s="22">
        <v>1645</v>
      </c>
      <c r="B201" s="3">
        <v>42172</v>
      </c>
      <c r="C201" s="3">
        <v>43846</v>
      </c>
      <c r="D201" s="2">
        <f t="shared" si="7"/>
        <v>5</v>
      </c>
      <c r="E201" s="4" t="str" cm="1">
        <f t="array" ref="E201">_xlfn.IFS(
D201&lt;=5,"Newcomer",
D201&lt;=10,"Proficient",
D201&gt;10,"Expert"
)</f>
        <v>Newcomer</v>
      </c>
      <c r="F201" s="2" t="s">
        <v>78</v>
      </c>
      <c r="G201" s="5" t="s">
        <v>35</v>
      </c>
      <c r="H201" s="5" t="s">
        <v>36</v>
      </c>
      <c r="I201" s="2">
        <v>21</v>
      </c>
      <c r="J201" s="2" t="s">
        <v>17</v>
      </c>
      <c r="K201" s="2" t="s">
        <v>18</v>
      </c>
      <c r="L201" s="2" t="s">
        <v>19</v>
      </c>
      <c r="M201" s="4" t="str">
        <f t="shared" si="6"/>
        <v>Voluntary</v>
      </c>
      <c r="N201" s="23" t="s">
        <v>26</v>
      </c>
    </row>
    <row r="202" spans="1:14" x14ac:dyDescent="0.25">
      <c r="A202" s="22">
        <v>1647</v>
      </c>
      <c r="B202" s="3">
        <v>34403</v>
      </c>
      <c r="C202" s="3">
        <v>44137</v>
      </c>
      <c r="D202" s="2">
        <f t="shared" si="7"/>
        <v>26</v>
      </c>
      <c r="E202" s="4" t="str" cm="1">
        <f t="array" ref="E202">_xlfn.IFS(
D202&lt;=5,"Newcomer",
D202&lt;=10,"Proficient",
D202&gt;10,"Expert"
)</f>
        <v>Expert</v>
      </c>
      <c r="F202" s="2" t="s">
        <v>90</v>
      </c>
      <c r="G202" s="5" t="s">
        <v>62</v>
      </c>
      <c r="H202" s="5" t="s">
        <v>63</v>
      </c>
      <c r="I202" s="2">
        <v>26</v>
      </c>
      <c r="J202" s="2" t="s">
        <v>17</v>
      </c>
      <c r="K202" s="2" t="s">
        <v>18</v>
      </c>
      <c r="L202" s="2" t="s">
        <v>19</v>
      </c>
      <c r="M202" s="4" t="str">
        <f t="shared" si="6"/>
        <v>Voluntary</v>
      </c>
      <c r="N202" s="23" t="s">
        <v>26</v>
      </c>
    </row>
    <row r="203" spans="1:14" x14ac:dyDescent="0.25">
      <c r="A203" s="22">
        <v>1650</v>
      </c>
      <c r="B203" s="3">
        <v>38513</v>
      </c>
      <c r="C203" s="3">
        <v>43831</v>
      </c>
      <c r="D203" s="2">
        <f t="shared" si="7"/>
        <v>15</v>
      </c>
      <c r="E203" s="4" t="str" cm="1">
        <f t="array" ref="E203">_xlfn.IFS(
D203&lt;=5,"Newcomer",
D203&lt;=10,"Proficient",
D203&gt;10,"Expert"
)</f>
        <v>Expert</v>
      </c>
      <c r="F203" s="2" t="s">
        <v>30</v>
      </c>
      <c r="G203" s="5" t="s">
        <v>35</v>
      </c>
      <c r="H203" s="5" t="s">
        <v>76</v>
      </c>
      <c r="I203" s="2">
        <v>37</v>
      </c>
      <c r="J203" s="2" t="s">
        <v>24</v>
      </c>
      <c r="K203" s="2" t="s">
        <v>25</v>
      </c>
      <c r="L203" s="2" t="s">
        <v>19</v>
      </c>
      <c r="M203" s="4" t="str">
        <f t="shared" si="6"/>
        <v>Voluntary</v>
      </c>
      <c r="N203" s="23" t="s">
        <v>26</v>
      </c>
    </row>
    <row r="204" spans="1:14" x14ac:dyDescent="0.25">
      <c r="A204" s="22">
        <v>1651</v>
      </c>
      <c r="B204" s="3">
        <v>33478</v>
      </c>
      <c r="C204" s="3">
        <v>43858</v>
      </c>
      <c r="D204" s="2">
        <f t="shared" si="7"/>
        <v>29</v>
      </c>
      <c r="E204" s="4" t="str" cm="1">
        <f t="array" ref="E204">_xlfn.IFS(
D204&lt;=5,"Newcomer",
D204&lt;=10,"Proficient",
D204&gt;10,"Expert"
)</f>
        <v>Expert</v>
      </c>
      <c r="F204" s="2" t="s">
        <v>78</v>
      </c>
      <c r="G204" s="5" t="s">
        <v>42</v>
      </c>
      <c r="H204" s="5" t="s">
        <v>43</v>
      </c>
      <c r="I204" s="2">
        <v>21</v>
      </c>
      <c r="J204" s="2" t="s">
        <v>24</v>
      </c>
      <c r="K204" s="2" t="s">
        <v>25</v>
      </c>
      <c r="L204" s="2" t="s">
        <v>19</v>
      </c>
      <c r="M204" s="4" t="str">
        <f t="shared" si="6"/>
        <v>Voluntary</v>
      </c>
      <c r="N204" s="23" t="s">
        <v>26</v>
      </c>
    </row>
    <row r="205" spans="1:14" x14ac:dyDescent="0.25">
      <c r="A205" s="22">
        <v>1652</v>
      </c>
      <c r="B205" s="3">
        <v>36882</v>
      </c>
      <c r="C205" s="3">
        <v>43933</v>
      </c>
      <c r="D205" s="2">
        <f t="shared" si="7"/>
        <v>20</v>
      </c>
      <c r="E205" s="4" t="str" cm="1">
        <f t="array" ref="E205">_xlfn.IFS(
D205&lt;=5,"Newcomer",
D205&lt;=10,"Proficient",
D205&gt;10,"Expert"
)</f>
        <v>Expert</v>
      </c>
      <c r="F205" s="2" t="s">
        <v>27</v>
      </c>
      <c r="G205" s="5" t="s">
        <v>35</v>
      </c>
      <c r="H205" s="5" t="s">
        <v>76</v>
      </c>
      <c r="I205" s="2">
        <v>16</v>
      </c>
      <c r="J205" s="2" t="s">
        <v>17</v>
      </c>
      <c r="K205" s="2" t="s">
        <v>18</v>
      </c>
      <c r="L205" s="2" t="s">
        <v>19</v>
      </c>
      <c r="M205" s="4" t="str">
        <f t="shared" si="6"/>
        <v>Voluntary</v>
      </c>
      <c r="N205" s="23" t="s">
        <v>26</v>
      </c>
    </row>
    <row r="206" spans="1:14" x14ac:dyDescent="0.25">
      <c r="A206" s="22">
        <v>1653</v>
      </c>
      <c r="B206" s="3">
        <v>34764</v>
      </c>
      <c r="C206" s="3">
        <v>43866</v>
      </c>
      <c r="D206" s="2">
        <f t="shared" si="7"/>
        <v>25</v>
      </c>
      <c r="E206" s="4" t="str" cm="1">
        <f t="array" ref="E206">_xlfn.IFS(
D206&lt;=5,"Newcomer",
D206&lt;=10,"Proficient",
D206&gt;10,"Expert"
)</f>
        <v>Expert</v>
      </c>
      <c r="F206" s="2" t="s">
        <v>90</v>
      </c>
      <c r="G206" s="5" t="s">
        <v>67</v>
      </c>
      <c r="H206" s="5" t="s">
        <v>68</v>
      </c>
      <c r="I206" s="2">
        <v>26</v>
      </c>
      <c r="J206" s="2" t="s">
        <v>24</v>
      </c>
      <c r="K206" s="2" t="s">
        <v>25</v>
      </c>
      <c r="L206" s="2" t="s">
        <v>50</v>
      </c>
      <c r="M206" s="4" t="str">
        <f t="shared" si="6"/>
        <v>Voluntary</v>
      </c>
      <c r="N206" s="23" t="s">
        <v>26</v>
      </c>
    </row>
    <row r="207" spans="1:14" x14ac:dyDescent="0.25">
      <c r="A207" s="22">
        <v>1655</v>
      </c>
      <c r="B207" s="3">
        <v>35391</v>
      </c>
      <c r="C207" s="3">
        <v>43871</v>
      </c>
      <c r="D207" s="2">
        <f t="shared" si="7"/>
        <v>24</v>
      </c>
      <c r="E207" s="4" t="str" cm="1">
        <f t="array" ref="E207">_xlfn.IFS(
D207&lt;=5,"Newcomer",
D207&lt;=10,"Proficient",
D207&gt;10,"Expert"
)</f>
        <v>Expert</v>
      </c>
      <c r="F207" s="2" t="s">
        <v>86</v>
      </c>
      <c r="G207" s="5" t="s">
        <v>35</v>
      </c>
      <c r="H207" s="5" t="s">
        <v>76</v>
      </c>
      <c r="I207" s="2">
        <v>8</v>
      </c>
      <c r="J207" s="2" t="s">
        <v>24</v>
      </c>
      <c r="K207" s="2" t="s">
        <v>25</v>
      </c>
      <c r="L207" s="2" t="s">
        <v>19</v>
      </c>
      <c r="M207" s="4" t="str">
        <f t="shared" si="6"/>
        <v>Voluntary</v>
      </c>
      <c r="N207" s="23" t="s">
        <v>26</v>
      </c>
    </row>
    <row r="208" spans="1:14" x14ac:dyDescent="0.25">
      <c r="A208" s="22">
        <v>1656</v>
      </c>
      <c r="B208" s="3">
        <v>36493</v>
      </c>
      <c r="C208" s="3">
        <v>44135</v>
      </c>
      <c r="D208" s="2">
        <f t="shared" si="7"/>
        <v>21</v>
      </c>
      <c r="E208" s="4" t="str" cm="1">
        <f t="array" ref="E208">_xlfn.IFS(
D208&lt;=5,"Newcomer",
D208&lt;=10,"Proficient",
D208&gt;10,"Expert"
)</f>
        <v>Expert</v>
      </c>
      <c r="F208" s="2" t="s">
        <v>14</v>
      </c>
      <c r="G208" s="5" t="s">
        <v>35</v>
      </c>
      <c r="H208" s="5" t="s">
        <v>36</v>
      </c>
      <c r="I208" s="2">
        <v>42</v>
      </c>
      <c r="J208" s="2" t="s">
        <v>24</v>
      </c>
      <c r="K208" s="2" t="s">
        <v>25</v>
      </c>
      <c r="L208" s="2" t="s">
        <v>19</v>
      </c>
      <c r="M208" s="4" t="str">
        <f t="shared" si="6"/>
        <v>Voluntary</v>
      </c>
      <c r="N208" s="23" t="s">
        <v>26</v>
      </c>
    </row>
    <row r="209" spans="1:14" x14ac:dyDescent="0.25">
      <c r="A209" s="22">
        <v>1658</v>
      </c>
      <c r="B209" s="3">
        <v>35048</v>
      </c>
      <c r="C209" s="3">
        <v>44050</v>
      </c>
      <c r="D209" s="2">
        <f t="shared" si="7"/>
        <v>25</v>
      </c>
      <c r="E209" s="4" t="str" cm="1">
        <f t="array" ref="E209">_xlfn.IFS(
D209&lt;=5,"Newcomer",
D209&lt;=10,"Proficient",
D209&gt;10,"Expert"
)</f>
        <v>Expert</v>
      </c>
      <c r="F209" s="2" t="s">
        <v>78</v>
      </c>
      <c r="G209" s="5" t="s">
        <v>47</v>
      </c>
      <c r="H209" s="5" t="s">
        <v>48</v>
      </c>
      <c r="I209" s="2">
        <v>21</v>
      </c>
      <c r="J209" s="2" t="s">
        <v>17</v>
      </c>
      <c r="K209" s="2" t="s">
        <v>18</v>
      </c>
      <c r="L209" s="2" t="s">
        <v>19</v>
      </c>
      <c r="M209" s="4" t="str">
        <f t="shared" si="6"/>
        <v>Voluntary</v>
      </c>
      <c r="N209" s="23" t="s">
        <v>26</v>
      </c>
    </row>
    <row r="210" spans="1:14" x14ac:dyDescent="0.25">
      <c r="A210" s="22">
        <v>1662</v>
      </c>
      <c r="B210" s="3">
        <v>34144</v>
      </c>
      <c r="C210" s="3">
        <v>43896</v>
      </c>
      <c r="D210" s="2">
        <f t="shared" si="7"/>
        <v>27</v>
      </c>
      <c r="E210" s="4" t="str" cm="1">
        <f t="array" ref="E210">_xlfn.IFS(
D210&lt;=5,"Newcomer",
D210&lt;=10,"Proficient",
D210&gt;10,"Expert"
)</f>
        <v>Expert</v>
      </c>
      <c r="F210" s="2" t="s">
        <v>89</v>
      </c>
      <c r="G210" s="5" t="s">
        <v>71</v>
      </c>
      <c r="H210" s="5" t="s">
        <v>72</v>
      </c>
      <c r="I210" s="2">
        <v>33</v>
      </c>
      <c r="J210" s="2" t="s">
        <v>17</v>
      </c>
      <c r="K210" s="2" t="s">
        <v>18</v>
      </c>
      <c r="L210" s="2" t="s">
        <v>19</v>
      </c>
      <c r="M210" s="4" t="str">
        <f t="shared" si="6"/>
        <v>Voluntary</v>
      </c>
      <c r="N210" s="23" t="s">
        <v>26</v>
      </c>
    </row>
    <row r="211" spans="1:14" x14ac:dyDescent="0.25">
      <c r="A211" s="22">
        <v>1664</v>
      </c>
      <c r="B211" s="3">
        <v>36260</v>
      </c>
      <c r="C211" s="3">
        <v>43907</v>
      </c>
      <c r="D211" s="2">
        <f t="shared" si="7"/>
        <v>21</v>
      </c>
      <c r="E211" s="4" t="str" cm="1">
        <f t="array" ref="E211">_xlfn.IFS(
D211&lt;=5,"Newcomer",
D211&lt;=10,"Proficient",
D211&gt;10,"Expert"
)</f>
        <v>Expert</v>
      </c>
      <c r="F211" s="2" t="s">
        <v>14</v>
      </c>
      <c r="G211" s="5" t="s">
        <v>42</v>
      </c>
      <c r="H211" s="5" t="s">
        <v>43</v>
      </c>
      <c r="I211" s="2">
        <v>42</v>
      </c>
      <c r="J211" s="2" t="s">
        <v>24</v>
      </c>
      <c r="K211" s="2" t="s">
        <v>25</v>
      </c>
      <c r="L211" s="2" t="s">
        <v>19</v>
      </c>
      <c r="M211" s="4" t="str">
        <f t="shared" si="6"/>
        <v>Voluntary</v>
      </c>
      <c r="N211" s="23" t="s">
        <v>26</v>
      </c>
    </row>
    <row r="212" spans="1:14" x14ac:dyDescent="0.25">
      <c r="A212" s="22">
        <v>1668</v>
      </c>
      <c r="B212" s="3">
        <v>36592</v>
      </c>
      <c r="C212" s="3">
        <v>44070</v>
      </c>
      <c r="D212" s="2">
        <f t="shared" si="7"/>
        <v>20</v>
      </c>
      <c r="E212" s="4" t="str" cm="1">
        <f t="array" ref="E212">_xlfn.IFS(
D212&lt;=5,"Newcomer",
D212&lt;=10,"Proficient",
D212&gt;10,"Expert"
)</f>
        <v>Expert</v>
      </c>
      <c r="F212" s="2" t="s">
        <v>78</v>
      </c>
      <c r="G212" s="5" t="s">
        <v>62</v>
      </c>
      <c r="H212" s="5" t="s">
        <v>63</v>
      </c>
      <c r="I212" s="2">
        <v>21</v>
      </c>
      <c r="J212" s="2" t="s">
        <v>24</v>
      </c>
      <c r="K212" s="2" t="s">
        <v>25</v>
      </c>
      <c r="L212" s="2" t="s">
        <v>19</v>
      </c>
      <c r="M212" s="4" t="str">
        <f t="shared" si="6"/>
        <v>Voluntary</v>
      </c>
      <c r="N212" s="23" t="s">
        <v>26</v>
      </c>
    </row>
    <row r="213" spans="1:14" x14ac:dyDescent="0.25">
      <c r="A213" s="22">
        <v>1670</v>
      </c>
      <c r="B213" s="3">
        <v>38404</v>
      </c>
      <c r="C213" s="3">
        <v>44181</v>
      </c>
      <c r="D213" s="2">
        <f t="shared" si="7"/>
        <v>15</v>
      </c>
      <c r="E213" s="4" t="str" cm="1">
        <f t="array" ref="E213">_xlfn.IFS(
D213&lt;=5,"Newcomer",
D213&lt;=10,"Proficient",
D213&gt;10,"Expert"
)</f>
        <v>Expert</v>
      </c>
      <c r="F213" s="2" t="s">
        <v>44</v>
      </c>
      <c r="G213" s="5" t="s">
        <v>35</v>
      </c>
      <c r="H213" s="5" t="s">
        <v>76</v>
      </c>
      <c r="I213" s="2">
        <v>18</v>
      </c>
      <c r="J213" s="2" t="s">
        <v>17</v>
      </c>
      <c r="K213" s="2" t="s">
        <v>18</v>
      </c>
      <c r="L213" s="2" t="s">
        <v>19</v>
      </c>
      <c r="M213" s="4" t="str">
        <f t="shared" si="6"/>
        <v>Voluntary</v>
      </c>
      <c r="N213" s="23" t="s">
        <v>26</v>
      </c>
    </row>
    <row r="214" spans="1:14" x14ac:dyDescent="0.25">
      <c r="A214" s="22">
        <v>1671</v>
      </c>
      <c r="B214" s="3">
        <v>35597</v>
      </c>
      <c r="C214" s="3">
        <v>44148</v>
      </c>
      <c r="D214" s="2">
        <f t="shared" si="7"/>
        <v>23</v>
      </c>
      <c r="E214" s="4" t="str" cm="1">
        <f t="array" ref="E214">_xlfn.IFS(
D214&lt;=5,"Newcomer",
D214&lt;=10,"Proficient",
D214&gt;10,"Expert"
)</f>
        <v>Expert</v>
      </c>
      <c r="F214" s="2" t="s">
        <v>69</v>
      </c>
      <c r="G214" s="5" t="s">
        <v>47</v>
      </c>
      <c r="H214" s="5" t="s">
        <v>48</v>
      </c>
      <c r="I214" s="2">
        <v>28</v>
      </c>
      <c r="J214" s="2" t="s">
        <v>17</v>
      </c>
      <c r="K214" s="2" t="s">
        <v>18</v>
      </c>
      <c r="L214" s="2" t="s">
        <v>19</v>
      </c>
      <c r="M214" s="4" t="str">
        <f t="shared" si="6"/>
        <v>Voluntary</v>
      </c>
      <c r="N214" s="23" t="s">
        <v>26</v>
      </c>
    </row>
    <row r="215" spans="1:14" x14ac:dyDescent="0.25">
      <c r="A215" s="22">
        <v>1672</v>
      </c>
      <c r="B215" s="3">
        <v>34636</v>
      </c>
      <c r="C215" s="3">
        <v>43923</v>
      </c>
      <c r="D215" s="2">
        <f t="shared" si="7"/>
        <v>26</v>
      </c>
      <c r="E215" s="4" t="str" cm="1">
        <f t="array" ref="E215">_xlfn.IFS(
D215&lt;=5,"Newcomer",
D215&lt;=10,"Proficient",
D215&gt;10,"Expert"
)</f>
        <v>Expert</v>
      </c>
      <c r="F215" s="2" t="s">
        <v>103</v>
      </c>
      <c r="G215" s="5" t="s">
        <v>22</v>
      </c>
      <c r="H215" s="5" t="s">
        <v>23</v>
      </c>
      <c r="I215" s="2">
        <v>2</v>
      </c>
      <c r="J215" s="2" t="s">
        <v>24</v>
      </c>
      <c r="K215" s="2" t="s">
        <v>25</v>
      </c>
      <c r="L215" s="2" t="s">
        <v>19</v>
      </c>
      <c r="M215" s="4" t="str">
        <f t="shared" si="6"/>
        <v>Voluntary</v>
      </c>
      <c r="N215" s="23" t="s">
        <v>26</v>
      </c>
    </row>
    <row r="216" spans="1:14" x14ac:dyDescent="0.25">
      <c r="A216" s="22">
        <v>1673</v>
      </c>
      <c r="B216" s="3">
        <v>37401</v>
      </c>
      <c r="C216" s="3">
        <v>43867</v>
      </c>
      <c r="D216" s="2">
        <f t="shared" si="7"/>
        <v>18</v>
      </c>
      <c r="E216" s="4" t="str" cm="1">
        <f t="array" ref="E216">_xlfn.IFS(
D216&lt;=5,"Newcomer",
D216&lt;=10,"Proficient",
D216&gt;10,"Expert"
)</f>
        <v>Expert</v>
      </c>
      <c r="F216" s="2" t="s">
        <v>14</v>
      </c>
      <c r="G216" s="5" t="s">
        <v>47</v>
      </c>
      <c r="H216" s="5" t="s">
        <v>48</v>
      </c>
      <c r="I216" s="2">
        <v>42</v>
      </c>
      <c r="J216" s="2" t="s">
        <v>24</v>
      </c>
      <c r="K216" s="2" t="s">
        <v>25</v>
      </c>
      <c r="L216" s="2" t="s">
        <v>19</v>
      </c>
      <c r="M216" s="4" t="str">
        <f t="shared" si="6"/>
        <v>Voluntary</v>
      </c>
      <c r="N216" s="23" t="s">
        <v>26</v>
      </c>
    </row>
    <row r="217" spans="1:14" x14ac:dyDescent="0.25">
      <c r="A217" s="22">
        <v>1674</v>
      </c>
      <c r="B217" s="3">
        <v>33878</v>
      </c>
      <c r="C217" s="3">
        <v>44011</v>
      </c>
      <c r="D217" s="2">
        <f t="shared" si="7"/>
        <v>28</v>
      </c>
      <c r="E217" s="4" t="str" cm="1">
        <f t="array" ref="E217">_xlfn.IFS(
D217&lt;=5,"Newcomer",
D217&lt;=10,"Proficient",
D217&gt;10,"Expert"
)</f>
        <v>Expert</v>
      </c>
      <c r="F217" s="2" t="s">
        <v>78</v>
      </c>
      <c r="G217" s="5" t="s">
        <v>67</v>
      </c>
      <c r="H217" s="5" t="s">
        <v>68</v>
      </c>
      <c r="I217" s="2">
        <v>21</v>
      </c>
      <c r="J217" s="2" t="s">
        <v>24</v>
      </c>
      <c r="K217" s="2" t="s">
        <v>25</v>
      </c>
      <c r="L217" s="2" t="s">
        <v>19</v>
      </c>
      <c r="M217" s="4" t="str">
        <f t="shared" si="6"/>
        <v>Voluntary</v>
      </c>
      <c r="N217" s="23" t="s">
        <v>26</v>
      </c>
    </row>
    <row r="218" spans="1:14" x14ac:dyDescent="0.25">
      <c r="A218" s="22">
        <v>1677</v>
      </c>
      <c r="B218" s="3">
        <v>35201</v>
      </c>
      <c r="C218" s="3">
        <v>43979</v>
      </c>
      <c r="D218" s="2">
        <f t="shared" si="7"/>
        <v>24</v>
      </c>
      <c r="E218" s="4" t="str" cm="1">
        <f t="array" ref="E218">_xlfn.IFS(
D218&lt;=5,"Newcomer",
D218&lt;=10,"Proficient",
D218&gt;10,"Expert"
)</f>
        <v>Expert</v>
      </c>
      <c r="F218" s="2" t="s">
        <v>41</v>
      </c>
      <c r="G218" s="5" t="s">
        <v>35</v>
      </c>
      <c r="H218" s="5" t="s">
        <v>76</v>
      </c>
      <c r="I218" s="2">
        <v>15</v>
      </c>
      <c r="J218" s="2" t="s">
        <v>24</v>
      </c>
      <c r="K218" s="2" t="s">
        <v>25</v>
      </c>
      <c r="L218" s="2" t="s">
        <v>19</v>
      </c>
      <c r="M218" s="4" t="str">
        <f t="shared" si="6"/>
        <v>Voluntary</v>
      </c>
      <c r="N218" s="23" t="s">
        <v>26</v>
      </c>
    </row>
    <row r="219" spans="1:14" x14ac:dyDescent="0.25">
      <c r="A219" s="22">
        <v>1680</v>
      </c>
      <c r="B219" s="3">
        <v>41445</v>
      </c>
      <c r="C219" s="3">
        <v>44029</v>
      </c>
      <c r="D219" s="2">
        <f t="shared" si="7"/>
        <v>7</v>
      </c>
      <c r="E219" s="4" t="str" cm="1">
        <f t="array" ref="E219">_xlfn.IFS(
D219&lt;=5,"Newcomer",
D219&lt;=10,"Proficient",
D219&gt;10,"Expert"
)</f>
        <v>Proficient</v>
      </c>
      <c r="F219" s="2" t="s">
        <v>73</v>
      </c>
      <c r="G219" s="5" t="s">
        <v>35</v>
      </c>
      <c r="H219" s="5" t="s">
        <v>76</v>
      </c>
      <c r="I219" s="2">
        <v>32</v>
      </c>
      <c r="J219" s="2" t="s">
        <v>24</v>
      </c>
      <c r="K219" s="2" t="s">
        <v>25</v>
      </c>
      <c r="L219" s="2" t="s">
        <v>19</v>
      </c>
      <c r="M219" s="4" t="str">
        <f t="shared" si="6"/>
        <v>Voluntary</v>
      </c>
      <c r="N219" s="23" t="s">
        <v>26</v>
      </c>
    </row>
    <row r="220" spans="1:14" x14ac:dyDescent="0.25">
      <c r="A220" s="22">
        <v>1683</v>
      </c>
      <c r="B220" s="3">
        <v>38571</v>
      </c>
      <c r="C220" s="3">
        <v>44057</v>
      </c>
      <c r="D220" s="2">
        <f t="shared" si="7"/>
        <v>15</v>
      </c>
      <c r="E220" s="4" t="str" cm="1">
        <f t="array" ref="E220">_xlfn.IFS(
D220&lt;=5,"Newcomer",
D220&lt;=10,"Proficient",
D220&gt;10,"Expert"
)</f>
        <v>Expert</v>
      </c>
      <c r="F220" s="2" t="s">
        <v>14</v>
      </c>
      <c r="G220" s="5" t="s">
        <v>62</v>
      </c>
      <c r="H220" s="5" t="s">
        <v>63</v>
      </c>
      <c r="I220" s="2">
        <v>42</v>
      </c>
      <c r="J220" s="2" t="s">
        <v>17</v>
      </c>
      <c r="K220" s="2" t="s">
        <v>18</v>
      </c>
      <c r="L220" s="2" t="s">
        <v>19</v>
      </c>
      <c r="M220" s="4" t="str">
        <f t="shared" si="6"/>
        <v>Voluntary</v>
      </c>
      <c r="N220" s="23" t="s">
        <v>26</v>
      </c>
    </row>
    <row r="221" spans="1:14" x14ac:dyDescent="0.25">
      <c r="A221" s="22">
        <v>1684</v>
      </c>
      <c r="B221" s="3">
        <v>34615</v>
      </c>
      <c r="C221" s="3">
        <v>43856</v>
      </c>
      <c r="D221" s="2">
        <f t="shared" si="7"/>
        <v>26</v>
      </c>
      <c r="E221" s="4" t="str" cm="1">
        <f t="array" ref="E221">_xlfn.IFS(
D221&lt;=5,"Newcomer",
D221&lt;=10,"Proficient",
D221&gt;10,"Expert"
)</f>
        <v>Expert</v>
      </c>
      <c r="F221" s="2" t="s">
        <v>14</v>
      </c>
      <c r="G221" s="5" t="s">
        <v>67</v>
      </c>
      <c r="H221" s="5" t="s">
        <v>68</v>
      </c>
      <c r="I221" s="2">
        <v>42</v>
      </c>
      <c r="J221" s="2" t="s">
        <v>24</v>
      </c>
      <c r="K221" s="2" t="s">
        <v>25</v>
      </c>
      <c r="L221" s="2" t="s">
        <v>19</v>
      </c>
      <c r="M221" s="4" t="str">
        <f t="shared" si="6"/>
        <v>Voluntary</v>
      </c>
      <c r="N221" s="23" t="s">
        <v>26</v>
      </c>
    </row>
    <row r="222" spans="1:14" x14ac:dyDescent="0.25">
      <c r="A222" s="22">
        <v>1687</v>
      </c>
      <c r="B222" s="3">
        <v>34116</v>
      </c>
      <c r="C222" s="3">
        <v>44183</v>
      </c>
      <c r="D222" s="2">
        <f t="shared" si="7"/>
        <v>27</v>
      </c>
      <c r="E222" s="4" t="str" cm="1">
        <f t="array" ref="E222">_xlfn.IFS(
D222&lt;=5,"Newcomer",
D222&lt;=10,"Proficient",
D222&gt;10,"Expert"
)</f>
        <v>Expert</v>
      </c>
      <c r="F222" s="2" t="s">
        <v>103</v>
      </c>
      <c r="G222" s="5" t="s">
        <v>35</v>
      </c>
      <c r="H222" s="5" t="s">
        <v>36</v>
      </c>
      <c r="I222" s="2">
        <v>2</v>
      </c>
      <c r="J222" s="2" t="s">
        <v>24</v>
      </c>
      <c r="K222" s="2" t="s">
        <v>25</v>
      </c>
      <c r="L222" s="2" t="s">
        <v>19</v>
      </c>
      <c r="M222" s="4" t="str">
        <f t="shared" si="6"/>
        <v>Voluntary</v>
      </c>
      <c r="N222" s="23" t="s">
        <v>26</v>
      </c>
    </row>
    <row r="223" spans="1:14" x14ac:dyDescent="0.25">
      <c r="A223" s="22">
        <v>1690</v>
      </c>
      <c r="B223" s="3">
        <v>41991</v>
      </c>
      <c r="C223" s="3">
        <v>43834</v>
      </c>
      <c r="D223" s="2">
        <f t="shared" si="7"/>
        <v>6</v>
      </c>
      <c r="E223" s="4" t="str" cm="1">
        <f t="array" ref="E223">_xlfn.IFS(
D223&lt;=5,"Newcomer",
D223&lt;=10,"Proficient",
D223&gt;10,"Expert"
)</f>
        <v>Proficient</v>
      </c>
      <c r="F223" s="2" t="s">
        <v>69</v>
      </c>
      <c r="G223" s="5" t="s">
        <v>62</v>
      </c>
      <c r="H223" s="5" t="s">
        <v>63</v>
      </c>
      <c r="I223" s="2">
        <v>28</v>
      </c>
      <c r="J223" s="2" t="s">
        <v>24</v>
      </c>
      <c r="K223" s="2" t="s">
        <v>25</v>
      </c>
      <c r="L223" s="2" t="s">
        <v>19</v>
      </c>
      <c r="M223" s="4" t="str">
        <f t="shared" si="6"/>
        <v>Voluntary</v>
      </c>
      <c r="N223" s="23" t="s">
        <v>26</v>
      </c>
    </row>
    <row r="224" spans="1:14" x14ac:dyDescent="0.25">
      <c r="A224" s="22">
        <v>1691</v>
      </c>
      <c r="B224" s="3">
        <v>37840</v>
      </c>
      <c r="C224" s="3">
        <v>43850</v>
      </c>
      <c r="D224" s="2">
        <f t="shared" si="7"/>
        <v>17</v>
      </c>
      <c r="E224" s="4" t="str" cm="1">
        <f t="array" ref="E224">_xlfn.IFS(
D224&lt;=5,"Newcomer",
D224&lt;=10,"Proficient",
D224&gt;10,"Expert"
)</f>
        <v>Expert</v>
      </c>
      <c r="F224" s="2" t="s">
        <v>66</v>
      </c>
      <c r="G224" s="5" t="s">
        <v>35</v>
      </c>
      <c r="H224" s="5" t="s">
        <v>76</v>
      </c>
      <c r="I224" s="2">
        <v>36</v>
      </c>
      <c r="J224" s="2" t="s">
        <v>24</v>
      </c>
      <c r="K224" s="2" t="s">
        <v>25</v>
      </c>
      <c r="L224" s="2" t="s">
        <v>19</v>
      </c>
      <c r="M224" s="4" t="str">
        <f t="shared" si="6"/>
        <v>Voluntary</v>
      </c>
      <c r="N224" s="23" t="s">
        <v>26</v>
      </c>
    </row>
    <row r="225" spans="1:14" x14ac:dyDescent="0.25">
      <c r="A225" s="22">
        <v>1693</v>
      </c>
      <c r="B225" s="3">
        <v>38295</v>
      </c>
      <c r="C225" s="3">
        <v>43910</v>
      </c>
      <c r="D225" s="2">
        <f t="shared" si="7"/>
        <v>16</v>
      </c>
      <c r="E225" s="4" t="str" cm="1">
        <f t="array" ref="E225">_xlfn.IFS(
D225&lt;=5,"Newcomer",
D225&lt;=10,"Proficient",
D225&gt;10,"Expert"
)</f>
        <v>Expert</v>
      </c>
      <c r="F225" s="2" t="s">
        <v>73</v>
      </c>
      <c r="G225" s="5" t="s">
        <v>35</v>
      </c>
      <c r="H225" s="5" t="s">
        <v>76</v>
      </c>
      <c r="I225" s="2">
        <v>32</v>
      </c>
      <c r="J225" s="2" t="s">
        <v>24</v>
      </c>
      <c r="K225" s="2" t="s">
        <v>25</v>
      </c>
      <c r="L225" s="2" t="s">
        <v>19</v>
      </c>
      <c r="M225" s="4" t="str">
        <f t="shared" si="6"/>
        <v>Voluntary</v>
      </c>
      <c r="N225" s="23" t="s">
        <v>26</v>
      </c>
    </row>
    <row r="226" spans="1:14" x14ac:dyDescent="0.25">
      <c r="A226" s="22">
        <v>1695</v>
      </c>
      <c r="B226" s="3">
        <v>41072</v>
      </c>
      <c r="C226" s="3">
        <v>43928</v>
      </c>
      <c r="D226" s="2">
        <f t="shared" si="7"/>
        <v>8</v>
      </c>
      <c r="E226" s="4" t="str" cm="1">
        <f t="array" ref="E226">_xlfn.IFS(
D226&lt;=5,"Newcomer",
D226&lt;=10,"Proficient",
D226&gt;10,"Expert"
)</f>
        <v>Proficient</v>
      </c>
      <c r="F226" s="2" t="s">
        <v>14</v>
      </c>
      <c r="G226" s="5" t="s">
        <v>71</v>
      </c>
      <c r="H226" s="5" t="s">
        <v>72</v>
      </c>
      <c r="I226" s="2">
        <v>42</v>
      </c>
      <c r="J226" s="2" t="s">
        <v>24</v>
      </c>
      <c r="K226" s="2" t="s">
        <v>25</v>
      </c>
      <c r="L226" s="2" t="s">
        <v>19</v>
      </c>
      <c r="M226" s="4" t="str">
        <f t="shared" si="6"/>
        <v>Voluntary</v>
      </c>
      <c r="N226" s="23" t="s">
        <v>26</v>
      </c>
    </row>
    <row r="227" spans="1:14" x14ac:dyDescent="0.25">
      <c r="A227" s="22">
        <v>1700</v>
      </c>
      <c r="B227" s="3">
        <v>38473</v>
      </c>
      <c r="C227" s="3">
        <v>43888</v>
      </c>
      <c r="D227" s="2">
        <f t="shared" si="7"/>
        <v>15</v>
      </c>
      <c r="E227" s="4" t="str" cm="1">
        <f t="array" ref="E227">_xlfn.IFS(
D227&lt;=5,"Newcomer",
D227&lt;=10,"Proficient",
D227&gt;10,"Expert"
)</f>
        <v>Expert</v>
      </c>
      <c r="F227" s="2" t="s">
        <v>30</v>
      </c>
      <c r="G227" s="5" t="s">
        <v>35</v>
      </c>
      <c r="H227" s="5" t="s">
        <v>76</v>
      </c>
      <c r="I227" s="2">
        <v>37</v>
      </c>
      <c r="J227" s="2" t="s">
        <v>17</v>
      </c>
      <c r="K227" s="2" t="s">
        <v>18</v>
      </c>
      <c r="L227" s="2" t="s">
        <v>96</v>
      </c>
      <c r="M227" s="4" t="str">
        <f t="shared" si="6"/>
        <v>Involuntary</v>
      </c>
      <c r="N227" s="23" t="s">
        <v>26</v>
      </c>
    </row>
    <row r="228" spans="1:14" x14ac:dyDescent="0.25">
      <c r="A228" s="22">
        <v>1711</v>
      </c>
      <c r="B228" s="3">
        <v>36161</v>
      </c>
      <c r="C228" s="3">
        <v>44168</v>
      </c>
      <c r="D228" s="2">
        <f t="shared" si="7"/>
        <v>21</v>
      </c>
      <c r="E228" s="4" t="str" cm="1">
        <f t="array" ref="E228">_xlfn.IFS(
D228&lt;=5,"Newcomer",
D228&lt;=10,"Proficient",
D228&gt;10,"Expert"
)</f>
        <v>Expert</v>
      </c>
      <c r="F228" s="2" t="s">
        <v>30</v>
      </c>
      <c r="G228" s="5" t="s">
        <v>35</v>
      </c>
      <c r="H228" s="5" t="s">
        <v>76</v>
      </c>
      <c r="I228" s="2">
        <v>37</v>
      </c>
      <c r="J228" s="2" t="s">
        <v>17</v>
      </c>
      <c r="K228" s="2" t="s">
        <v>18</v>
      </c>
      <c r="L228" s="2" t="s">
        <v>96</v>
      </c>
      <c r="M228" s="4" t="str">
        <f t="shared" si="6"/>
        <v>Involuntary</v>
      </c>
      <c r="N228" s="23" t="s">
        <v>26</v>
      </c>
    </row>
    <row r="229" spans="1:14" x14ac:dyDescent="0.25">
      <c r="A229" s="22">
        <v>1714</v>
      </c>
      <c r="B229" s="3">
        <v>34905</v>
      </c>
      <c r="C229" s="3">
        <v>44097</v>
      </c>
      <c r="D229" s="2">
        <f t="shared" si="7"/>
        <v>25</v>
      </c>
      <c r="E229" s="4" t="str" cm="1">
        <f t="array" ref="E229">_xlfn.IFS(
D229&lt;=5,"Newcomer",
D229&lt;=10,"Proficient",
D229&gt;10,"Expert"
)</f>
        <v>Expert</v>
      </c>
      <c r="F229" s="2" t="s">
        <v>49</v>
      </c>
      <c r="G229" s="5" t="s">
        <v>62</v>
      </c>
      <c r="H229" s="5" t="s">
        <v>63</v>
      </c>
      <c r="I229" s="2">
        <v>12</v>
      </c>
      <c r="J229" s="2" t="s">
        <v>17</v>
      </c>
      <c r="K229" s="2" t="s">
        <v>18</v>
      </c>
      <c r="L229" s="2" t="s">
        <v>50</v>
      </c>
      <c r="M229" s="4" t="str">
        <f t="shared" si="6"/>
        <v>Voluntary</v>
      </c>
      <c r="N229" s="23" t="s">
        <v>26</v>
      </c>
    </row>
    <row r="230" spans="1:14" x14ac:dyDescent="0.25">
      <c r="A230" s="22">
        <v>1722</v>
      </c>
      <c r="B230" s="3">
        <v>39915</v>
      </c>
      <c r="C230" s="3">
        <v>43989</v>
      </c>
      <c r="D230" s="2">
        <f t="shared" si="7"/>
        <v>11</v>
      </c>
      <c r="E230" s="4" t="str" cm="1">
        <f t="array" ref="E230">_xlfn.IFS(
D230&lt;=5,"Newcomer",
D230&lt;=10,"Proficient",
D230&gt;10,"Expert"
)</f>
        <v>Expert</v>
      </c>
      <c r="F230" s="2" t="s">
        <v>30</v>
      </c>
      <c r="G230" s="5" t="s">
        <v>35</v>
      </c>
      <c r="H230" s="5" t="s">
        <v>76</v>
      </c>
      <c r="I230" s="2">
        <v>37</v>
      </c>
      <c r="J230" s="2" t="s">
        <v>17</v>
      </c>
      <c r="K230" s="2" t="s">
        <v>18</v>
      </c>
      <c r="L230" s="2" t="s">
        <v>96</v>
      </c>
      <c r="M230" s="4" t="str">
        <f t="shared" si="6"/>
        <v>Involuntary</v>
      </c>
      <c r="N230" s="23" t="s">
        <v>26</v>
      </c>
    </row>
    <row r="231" spans="1:14" x14ac:dyDescent="0.25">
      <c r="A231" s="22">
        <v>1730</v>
      </c>
      <c r="B231" s="3">
        <v>35275</v>
      </c>
      <c r="C231" s="3">
        <v>44124</v>
      </c>
      <c r="D231" s="2">
        <f t="shared" si="7"/>
        <v>24</v>
      </c>
      <c r="E231" s="4" t="str" cm="1">
        <f t="array" ref="E231">_xlfn.IFS(
D231&lt;=5,"Newcomer",
D231&lt;=10,"Proficient",
D231&gt;10,"Expert"
)</f>
        <v>Expert</v>
      </c>
      <c r="F231" s="2" t="s">
        <v>30</v>
      </c>
      <c r="G231" s="5" t="s">
        <v>35</v>
      </c>
      <c r="H231" s="5" t="s">
        <v>76</v>
      </c>
      <c r="I231" s="2">
        <v>37</v>
      </c>
      <c r="J231" s="2" t="s">
        <v>24</v>
      </c>
      <c r="K231" s="2" t="s">
        <v>25</v>
      </c>
      <c r="L231" s="2" t="s">
        <v>96</v>
      </c>
      <c r="M231" s="4" t="str">
        <f t="shared" si="6"/>
        <v>Involuntary</v>
      </c>
      <c r="N231" s="23" t="s">
        <v>26</v>
      </c>
    </row>
    <row r="232" spans="1:14" x14ac:dyDescent="0.25">
      <c r="A232" s="22">
        <v>1742</v>
      </c>
      <c r="B232" s="3">
        <v>37596</v>
      </c>
      <c r="C232" s="3">
        <v>44019</v>
      </c>
      <c r="D232" s="2">
        <f t="shared" si="7"/>
        <v>18</v>
      </c>
      <c r="E232" s="4" t="str" cm="1">
        <f t="array" ref="E232">_xlfn.IFS(
D232&lt;=5,"Newcomer",
D232&lt;=10,"Proficient",
D232&gt;10,"Expert"
)</f>
        <v>Expert</v>
      </c>
      <c r="F232" s="2" t="s">
        <v>30</v>
      </c>
      <c r="G232" s="5" t="s">
        <v>35</v>
      </c>
      <c r="H232" s="5" t="s">
        <v>76</v>
      </c>
      <c r="I232" s="2">
        <v>37</v>
      </c>
      <c r="J232" s="2" t="s">
        <v>17</v>
      </c>
      <c r="K232" s="2" t="s">
        <v>18</v>
      </c>
      <c r="L232" s="2" t="s">
        <v>96</v>
      </c>
      <c r="M232" s="4" t="str">
        <f t="shared" si="6"/>
        <v>Involuntary</v>
      </c>
      <c r="N232" s="23" t="s">
        <v>26</v>
      </c>
    </row>
    <row r="233" spans="1:14" x14ac:dyDescent="0.25">
      <c r="A233" s="22">
        <v>1780</v>
      </c>
      <c r="B233" s="3">
        <v>37876</v>
      </c>
      <c r="C233" s="3">
        <v>43832</v>
      </c>
      <c r="D233" s="2">
        <f t="shared" si="7"/>
        <v>17</v>
      </c>
      <c r="E233" s="4" t="str" cm="1">
        <f t="array" ref="E233">_xlfn.IFS(
D233&lt;=5,"Newcomer",
D233&lt;=10,"Proficient",
D233&gt;10,"Expert"
)</f>
        <v>Expert</v>
      </c>
      <c r="F233" s="2" t="s">
        <v>14</v>
      </c>
      <c r="G233" s="5" t="s">
        <v>22</v>
      </c>
      <c r="H233" s="5" t="s">
        <v>23</v>
      </c>
      <c r="I233" s="2">
        <v>45</v>
      </c>
      <c r="J233" s="2" t="s">
        <v>24</v>
      </c>
      <c r="K233" s="2" t="s">
        <v>25</v>
      </c>
      <c r="L233" s="2" t="s">
        <v>96</v>
      </c>
      <c r="M233" s="4" t="str">
        <f t="shared" si="6"/>
        <v>Involuntary</v>
      </c>
      <c r="N233" s="23" t="s">
        <v>26</v>
      </c>
    </row>
    <row r="234" spans="1:14" x14ac:dyDescent="0.25">
      <c r="A234" s="22">
        <v>1781</v>
      </c>
      <c r="B234" s="3">
        <v>36359</v>
      </c>
      <c r="C234" s="3">
        <v>44123</v>
      </c>
      <c r="D234" s="2">
        <f t="shared" si="7"/>
        <v>21</v>
      </c>
      <c r="E234" s="4" t="str" cm="1">
        <f t="array" ref="E234">_xlfn.IFS(
D234&lt;=5,"Newcomer",
D234&lt;=10,"Proficient",
D234&gt;10,"Expert"
)</f>
        <v>Expert</v>
      </c>
      <c r="F234" s="2" t="s">
        <v>14</v>
      </c>
      <c r="G234" s="5" t="s">
        <v>35</v>
      </c>
      <c r="H234" s="5" t="s">
        <v>36</v>
      </c>
      <c r="I234" s="2">
        <v>45</v>
      </c>
      <c r="J234" s="2" t="s">
        <v>24</v>
      </c>
      <c r="K234" s="2" t="s">
        <v>25</v>
      </c>
      <c r="L234" s="2" t="s">
        <v>96</v>
      </c>
      <c r="M234" s="4" t="str">
        <f t="shared" si="6"/>
        <v>Involuntary</v>
      </c>
      <c r="N234" s="23" t="s">
        <v>26</v>
      </c>
    </row>
    <row r="235" spans="1:14" x14ac:dyDescent="0.25">
      <c r="A235" s="22">
        <v>1783</v>
      </c>
      <c r="B235" s="3">
        <v>39854</v>
      </c>
      <c r="C235" s="3">
        <v>43885</v>
      </c>
      <c r="D235" s="2">
        <f t="shared" si="7"/>
        <v>11</v>
      </c>
      <c r="E235" s="4" t="str" cm="1">
        <f t="array" ref="E235">_xlfn.IFS(
D235&lt;=5,"Newcomer",
D235&lt;=10,"Proficient",
D235&gt;10,"Expert"
)</f>
        <v>Expert</v>
      </c>
      <c r="F235" s="2" t="s">
        <v>30</v>
      </c>
      <c r="G235" s="5" t="s">
        <v>35</v>
      </c>
      <c r="H235" s="5" t="s">
        <v>76</v>
      </c>
      <c r="I235" s="2">
        <v>37</v>
      </c>
      <c r="J235" s="2" t="s">
        <v>24</v>
      </c>
      <c r="K235" s="2" t="s">
        <v>25</v>
      </c>
      <c r="L235" s="2" t="s">
        <v>96</v>
      </c>
      <c r="M235" s="4" t="str">
        <f t="shared" si="6"/>
        <v>Involuntary</v>
      </c>
      <c r="N235" s="23" t="s">
        <v>26</v>
      </c>
    </row>
    <row r="236" spans="1:14" x14ac:dyDescent="0.25">
      <c r="A236" s="22">
        <v>1784</v>
      </c>
      <c r="B236" s="3">
        <v>33193</v>
      </c>
      <c r="C236" s="3">
        <v>43903</v>
      </c>
      <c r="D236" s="2">
        <f t="shared" si="7"/>
        <v>30</v>
      </c>
      <c r="E236" s="4" t="str" cm="1">
        <f t="array" ref="E236">_xlfn.IFS(
D236&lt;=5,"Newcomer",
D236&lt;=10,"Proficient",
D236&gt;10,"Expert"
)</f>
        <v>Expert</v>
      </c>
      <c r="F236" s="2" t="s">
        <v>30</v>
      </c>
      <c r="G236" s="5" t="s">
        <v>35</v>
      </c>
      <c r="H236" s="5" t="s">
        <v>76</v>
      </c>
      <c r="I236" s="2">
        <v>37</v>
      </c>
      <c r="J236" s="2" t="s">
        <v>17</v>
      </c>
      <c r="K236" s="2" t="s">
        <v>18</v>
      </c>
      <c r="L236" s="2" t="s">
        <v>96</v>
      </c>
      <c r="M236" s="4" t="str">
        <f t="shared" si="6"/>
        <v>Involuntary</v>
      </c>
      <c r="N236" s="23" t="s">
        <v>26</v>
      </c>
    </row>
    <row r="237" spans="1:14" x14ac:dyDescent="0.25">
      <c r="A237" s="22">
        <v>1787</v>
      </c>
      <c r="B237" s="3">
        <v>39387</v>
      </c>
      <c r="C237" s="3">
        <v>44171</v>
      </c>
      <c r="D237" s="2">
        <f t="shared" si="7"/>
        <v>13</v>
      </c>
      <c r="E237" s="4" t="str" cm="1">
        <f t="array" ref="E237">_xlfn.IFS(
D237&lt;=5,"Newcomer",
D237&lt;=10,"Proficient",
D237&gt;10,"Expert"
)</f>
        <v>Expert</v>
      </c>
      <c r="F237" s="2" t="s">
        <v>14</v>
      </c>
      <c r="G237" s="5" t="s">
        <v>42</v>
      </c>
      <c r="H237" s="5" t="s">
        <v>43</v>
      </c>
      <c r="I237" s="2">
        <v>45</v>
      </c>
      <c r="J237" s="2" t="s">
        <v>24</v>
      </c>
      <c r="K237" s="2" t="s">
        <v>25</v>
      </c>
      <c r="L237" s="2" t="s">
        <v>96</v>
      </c>
      <c r="M237" s="4" t="str">
        <f t="shared" si="6"/>
        <v>Involuntary</v>
      </c>
      <c r="N237" s="23" t="s">
        <v>26</v>
      </c>
    </row>
    <row r="238" spans="1:14" x14ac:dyDescent="0.25">
      <c r="A238" s="22">
        <v>1788</v>
      </c>
      <c r="B238" s="3">
        <v>38800</v>
      </c>
      <c r="C238" s="3">
        <v>43986</v>
      </c>
      <c r="D238" s="2">
        <f t="shared" si="7"/>
        <v>14</v>
      </c>
      <c r="E238" s="4" t="str" cm="1">
        <f t="array" ref="E238">_xlfn.IFS(
D238&lt;=5,"Newcomer",
D238&lt;=10,"Proficient",
D238&gt;10,"Expert"
)</f>
        <v>Expert</v>
      </c>
      <c r="F238" s="2" t="s">
        <v>14</v>
      </c>
      <c r="G238" s="5" t="s">
        <v>47</v>
      </c>
      <c r="H238" s="5" t="s">
        <v>48</v>
      </c>
      <c r="I238" s="2">
        <v>45</v>
      </c>
      <c r="J238" s="2" t="s">
        <v>24</v>
      </c>
      <c r="K238" s="2" t="s">
        <v>25</v>
      </c>
      <c r="L238" s="2" t="s">
        <v>96</v>
      </c>
      <c r="M238" s="4" t="str">
        <f t="shared" si="6"/>
        <v>Involuntary</v>
      </c>
      <c r="N238" s="23" t="s">
        <v>26</v>
      </c>
    </row>
    <row r="239" spans="1:14" x14ac:dyDescent="0.25">
      <c r="A239" s="22">
        <v>1789</v>
      </c>
      <c r="B239" s="3">
        <v>33046</v>
      </c>
      <c r="C239" s="3">
        <v>44149</v>
      </c>
      <c r="D239" s="2">
        <f t="shared" si="7"/>
        <v>30</v>
      </c>
      <c r="E239" s="4" t="str" cm="1">
        <f t="array" ref="E239">_xlfn.IFS(
D239&lt;=5,"Newcomer",
D239&lt;=10,"Proficient",
D239&gt;10,"Expert"
)</f>
        <v>Expert</v>
      </c>
      <c r="F239" s="2" t="s">
        <v>30</v>
      </c>
      <c r="G239" s="5" t="s">
        <v>35</v>
      </c>
      <c r="H239" s="5" t="s">
        <v>76</v>
      </c>
      <c r="I239" s="2">
        <v>37</v>
      </c>
      <c r="J239" s="2" t="s">
        <v>24</v>
      </c>
      <c r="K239" s="2" t="s">
        <v>25</v>
      </c>
      <c r="L239" s="2" t="s">
        <v>96</v>
      </c>
      <c r="M239" s="4" t="str">
        <f t="shared" si="6"/>
        <v>Involuntary</v>
      </c>
      <c r="N239" s="23" t="s">
        <v>26</v>
      </c>
    </row>
    <row r="240" spans="1:14" x14ac:dyDescent="0.25">
      <c r="A240" s="22">
        <v>1792</v>
      </c>
      <c r="B240" s="3">
        <v>36796</v>
      </c>
      <c r="C240" s="3">
        <v>43978</v>
      </c>
      <c r="D240" s="2">
        <f t="shared" si="7"/>
        <v>20</v>
      </c>
      <c r="E240" s="4" t="str" cm="1">
        <f t="array" ref="E240">_xlfn.IFS(
D240&lt;=5,"Newcomer",
D240&lt;=10,"Proficient",
D240&gt;10,"Expert"
)</f>
        <v>Expert</v>
      </c>
      <c r="F240" s="2" t="s">
        <v>30</v>
      </c>
      <c r="G240" s="5" t="s">
        <v>35</v>
      </c>
      <c r="H240" s="5" t="s">
        <v>76</v>
      </c>
      <c r="I240" s="2">
        <v>37</v>
      </c>
      <c r="J240" s="2" t="s">
        <v>24</v>
      </c>
      <c r="K240" s="2" t="s">
        <v>25</v>
      </c>
      <c r="L240" s="2" t="s">
        <v>96</v>
      </c>
      <c r="M240" s="4" t="str">
        <f t="shared" si="6"/>
        <v>Involuntary</v>
      </c>
      <c r="N240" s="23" t="s">
        <v>26</v>
      </c>
    </row>
    <row r="241" spans="1:14" x14ac:dyDescent="0.25">
      <c r="A241" s="22">
        <v>1795</v>
      </c>
      <c r="B241" s="3">
        <v>34789</v>
      </c>
      <c r="C241" s="3">
        <v>44049</v>
      </c>
      <c r="D241" s="2">
        <f t="shared" si="7"/>
        <v>25</v>
      </c>
      <c r="E241" s="4" t="str" cm="1">
        <f t="array" ref="E241">_xlfn.IFS(
D241&lt;=5,"Newcomer",
D241&lt;=10,"Proficient",
D241&gt;10,"Expert"
)</f>
        <v>Expert</v>
      </c>
      <c r="F241" s="2" t="s">
        <v>14</v>
      </c>
      <c r="G241" s="5" t="s">
        <v>62</v>
      </c>
      <c r="H241" s="5" t="s">
        <v>63</v>
      </c>
      <c r="I241" s="2">
        <v>45</v>
      </c>
      <c r="J241" s="2" t="s">
        <v>24</v>
      </c>
      <c r="K241" s="2" t="s">
        <v>25</v>
      </c>
      <c r="L241" s="2" t="s">
        <v>96</v>
      </c>
      <c r="M241" s="4" t="str">
        <f t="shared" si="6"/>
        <v>Involuntary</v>
      </c>
      <c r="N241" s="23" t="s">
        <v>26</v>
      </c>
    </row>
    <row r="242" spans="1:14" x14ac:dyDescent="0.25">
      <c r="A242" s="22">
        <v>1799</v>
      </c>
      <c r="B242" s="3">
        <v>36725</v>
      </c>
      <c r="C242" s="3">
        <v>44108</v>
      </c>
      <c r="D242" s="2">
        <f t="shared" si="7"/>
        <v>20</v>
      </c>
      <c r="E242" s="4" t="str" cm="1">
        <f t="array" ref="E242">_xlfn.IFS(
D242&lt;=5,"Newcomer",
D242&lt;=10,"Proficient",
D242&gt;10,"Expert"
)</f>
        <v>Expert</v>
      </c>
      <c r="F242" s="2" t="s">
        <v>14</v>
      </c>
      <c r="G242" s="5" t="s">
        <v>71</v>
      </c>
      <c r="H242" s="5" t="s">
        <v>72</v>
      </c>
      <c r="I242" s="2">
        <v>45</v>
      </c>
      <c r="J242" s="2" t="s">
        <v>17</v>
      </c>
      <c r="K242" s="2" t="s">
        <v>18</v>
      </c>
      <c r="L242" s="2" t="s">
        <v>96</v>
      </c>
      <c r="M242" s="4" t="str">
        <f t="shared" si="6"/>
        <v>Involuntary</v>
      </c>
      <c r="N242" s="23" t="s">
        <v>26</v>
      </c>
    </row>
    <row r="243" spans="1:14" x14ac:dyDescent="0.25">
      <c r="A243" s="22">
        <v>1823</v>
      </c>
      <c r="B243" s="3">
        <v>41267</v>
      </c>
      <c r="C243" s="3">
        <v>44093</v>
      </c>
      <c r="D243" s="2">
        <f t="shared" si="7"/>
        <v>8</v>
      </c>
      <c r="E243" s="4" t="str" cm="1">
        <f t="array" ref="E243">_xlfn.IFS(
D243&lt;=5,"Newcomer",
D243&lt;=10,"Proficient",
D243&gt;10,"Expert"
)</f>
        <v>Proficient</v>
      </c>
      <c r="F243" s="2" t="s">
        <v>44</v>
      </c>
      <c r="G243" s="5" t="s">
        <v>35</v>
      </c>
      <c r="H243" s="5" t="s">
        <v>76</v>
      </c>
      <c r="I243" s="2">
        <v>18</v>
      </c>
      <c r="J243" s="2" t="s">
        <v>17</v>
      </c>
      <c r="K243" s="2" t="s">
        <v>18</v>
      </c>
      <c r="L243" s="2" t="s">
        <v>50</v>
      </c>
      <c r="M243" s="4" t="str">
        <f t="shared" si="6"/>
        <v>Voluntary</v>
      </c>
      <c r="N243" s="23" t="s">
        <v>26</v>
      </c>
    </row>
    <row r="244" spans="1:14" x14ac:dyDescent="0.25">
      <c r="A244" s="22">
        <v>1859</v>
      </c>
      <c r="B244" s="3">
        <v>33408</v>
      </c>
      <c r="C244" s="3">
        <v>43836</v>
      </c>
      <c r="D244" s="2">
        <f t="shared" si="7"/>
        <v>29</v>
      </c>
      <c r="E244" s="4" t="str" cm="1">
        <f t="array" ref="E244">_xlfn.IFS(
D244&lt;=5,"Newcomer",
D244&lt;=10,"Proficient",
D244&gt;10,"Expert"
)</f>
        <v>Expert</v>
      </c>
      <c r="F244" s="2" t="s">
        <v>104</v>
      </c>
      <c r="G244" s="5" t="s">
        <v>22</v>
      </c>
      <c r="H244" s="5" t="s">
        <v>23</v>
      </c>
      <c r="I244" s="2">
        <v>39</v>
      </c>
      <c r="J244" s="2" t="s">
        <v>17</v>
      </c>
      <c r="K244" s="2" t="s">
        <v>18</v>
      </c>
      <c r="L244" s="2" t="s">
        <v>96</v>
      </c>
      <c r="M244" s="4" t="str">
        <f t="shared" si="6"/>
        <v>Involuntary</v>
      </c>
      <c r="N244" s="23" t="s">
        <v>26</v>
      </c>
    </row>
    <row r="245" spans="1:14" x14ac:dyDescent="0.25">
      <c r="A245" s="22">
        <v>1885</v>
      </c>
      <c r="B245" s="3">
        <v>34598</v>
      </c>
      <c r="C245" s="3">
        <v>43971</v>
      </c>
      <c r="D245" s="2">
        <f t="shared" si="7"/>
        <v>26</v>
      </c>
      <c r="E245" s="4" t="str" cm="1">
        <f t="array" ref="E245">_xlfn.IFS(
D245&lt;=5,"Newcomer",
D245&lt;=10,"Proficient",
D245&gt;10,"Expert"
)</f>
        <v>Expert</v>
      </c>
      <c r="F245" s="2" t="s">
        <v>14</v>
      </c>
      <c r="G245" s="5" t="s">
        <v>35</v>
      </c>
      <c r="H245" s="5" t="s">
        <v>76</v>
      </c>
      <c r="I245" s="2">
        <v>41</v>
      </c>
      <c r="J245" s="2" t="s">
        <v>24</v>
      </c>
      <c r="K245" s="2" t="s">
        <v>25</v>
      </c>
      <c r="L245" s="2" t="s">
        <v>50</v>
      </c>
      <c r="M245" s="4" t="str">
        <f t="shared" si="6"/>
        <v>Voluntary</v>
      </c>
      <c r="N245" s="23" t="s">
        <v>26</v>
      </c>
    </row>
    <row r="246" spans="1:14" x14ac:dyDescent="0.25">
      <c r="A246" s="22">
        <v>1894</v>
      </c>
      <c r="B246" s="3">
        <v>39688</v>
      </c>
      <c r="C246" s="3">
        <v>43960</v>
      </c>
      <c r="D246" s="2">
        <f t="shared" si="7"/>
        <v>12</v>
      </c>
      <c r="E246" s="4" t="str" cm="1">
        <f t="array" ref="E246">_xlfn.IFS(
D246&lt;=5,"Newcomer",
D246&lt;=10,"Proficient",
D246&gt;10,"Expert"
)</f>
        <v>Expert</v>
      </c>
      <c r="F246" s="2" t="s">
        <v>104</v>
      </c>
      <c r="G246" s="5" t="s">
        <v>35</v>
      </c>
      <c r="H246" s="5" t="s">
        <v>76</v>
      </c>
      <c r="I246" s="2">
        <v>39</v>
      </c>
      <c r="J246" s="2" t="s">
        <v>24</v>
      </c>
      <c r="K246" s="2" t="s">
        <v>25</v>
      </c>
      <c r="L246" s="2" t="s">
        <v>96</v>
      </c>
      <c r="M246" s="4" t="str">
        <f t="shared" si="6"/>
        <v>Involuntary</v>
      </c>
      <c r="N246" s="23" t="s">
        <v>26</v>
      </c>
    </row>
    <row r="247" spans="1:14" x14ac:dyDescent="0.25">
      <c r="A247" s="22">
        <v>1920</v>
      </c>
      <c r="B247" s="3">
        <v>33301</v>
      </c>
      <c r="C247" s="3">
        <v>44090</v>
      </c>
      <c r="D247" s="2">
        <f t="shared" si="7"/>
        <v>29</v>
      </c>
      <c r="E247" s="4" t="str" cm="1">
        <f t="array" ref="E247">_xlfn.IFS(
D247&lt;=5,"Newcomer",
D247&lt;=10,"Proficient",
D247&gt;10,"Expert"
)</f>
        <v>Expert</v>
      </c>
      <c r="F247" s="2" t="s">
        <v>74</v>
      </c>
      <c r="G247" s="5" t="s">
        <v>42</v>
      </c>
      <c r="H247" s="5" t="s">
        <v>105</v>
      </c>
      <c r="I247" s="2">
        <v>9</v>
      </c>
      <c r="J247" s="2" t="s">
        <v>24</v>
      </c>
      <c r="K247" s="2" t="s">
        <v>25</v>
      </c>
      <c r="L247" s="2" t="s">
        <v>96</v>
      </c>
      <c r="M247" s="4" t="str">
        <f t="shared" si="6"/>
        <v>Involuntary</v>
      </c>
      <c r="N247" s="23" t="s">
        <v>26</v>
      </c>
    </row>
    <row r="248" spans="1:14" x14ac:dyDescent="0.25">
      <c r="A248" s="22">
        <v>1943</v>
      </c>
      <c r="B248" s="3">
        <v>38107</v>
      </c>
      <c r="C248" s="3">
        <v>44021</v>
      </c>
      <c r="D248" s="2">
        <f t="shared" si="7"/>
        <v>16</v>
      </c>
      <c r="E248" s="4" t="str" cm="1">
        <f t="array" ref="E248">_xlfn.IFS(
D248&lt;=5,"Newcomer",
D248&lt;=10,"Proficient",
D248&gt;10,"Expert"
)</f>
        <v>Expert</v>
      </c>
      <c r="F248" s="2" t="s">
        <v>106</v>
      </c>
      <c r="G248" s="5" t="s">
        <v>22</v>
      </c>
      <c r="H248" s="5" t="s">
        <v>23</v>
      </c>
      <c r="I248" s="2">
        <v>20</v>
      </c>
      <c r="J248" s="2" t="s">
        <v>17</v>
      </c>
      <c r="K248" s="2" t="s">
        <v>18</v>
      </c>
      <c r="L248" s="2" t="s">
        <v>96</v>
      </c>
      <c r="M248" s="4" t="str">
        <f t="shared" si="6"/>
        <v>Involuntary</v>
      </c>
      <c r="N248" s="23" t="s">
        <v>26</v>
      </c>
    </row>
    <row r="249" spans="1:14" x14ac:dyDescent="0.25">
      <c r="A249" s="22">
        <v>1951</v>
      </c>
      <c r="B249" s="3">
        <v>35847</v>
      </c>
      <c r="C249" s="3">
        <v>43999</v>
      </c>
      <c r="D249" s="2">
        <f t="shared" si="7"/>
        <v>22</v>
      </c>
      <c r="E249" s="4" t="str" cm="1">
        <f t="array" ref="E249">_xlfn.IFS(
D249&lt;=5,"Newcomer",
D249&lt;=10,"Proficient",
D249&gt;10,"Expert"
)</f>
        <v>Expert</v>
      </c>
      <c r="F249" s="2" t="s">
        <v>27</v>
      </c>
      <c r="G249" s="5" t="s">
        <v>35</v>
      </c>
      <c r="H249" s="5" t="s">
        <v>76</v>
      </c>
      <c r="I249" s="2">
        <v>16</v>
      </c>
      <c r="J249" s="2" t="s">
        <v>17</v>
      </c>
      <c r="K249" s="2" t="s">
        <v>18</v>
      </c>
      <c r="L249" s="2" t="s">
        <v>50</v>
      </c>
      <c r="M249" s="4" t="str">
        <f t="shared" si="6"/>
        <v>Voluntary</v>
      </c>
      <c r="N249" s="23" t="s">
        <v>26</v>
      </c>
    </row>
    <row r="250" spans="1:14" x14ac:dyDescent="0.25">
      <c r="A250" s="22">
        <v>1998</v>
      </c>
      <c r="B250" s="3">
        <v>34811</v>
      </c>
      <c r="C250" s="3">
        <v>44031</v>
      </c>
      <c r="D250" s="2">
        <f t="shared" si="7"/>
        <v>25</v>
      </c>
      <c r="E250" s="4" t="str" cm="1">
        <f t="array" ref="E250">_xlfn.IFS(
D250&lt;=5,"Newcomer",
D250&lt;=10,"Proficient",
D250&gt;10,"Expert"
)</f>
        <v>Expert</v>
      </c>
      <c r="F250" s="2" t="s">
        <v>81</v>
      </c>
      <c r="G250" s="5" t="s">
        <v>35</v>
      </c>
      <c r="H250" s="5" t="s">
        <v>76</v>
      </c>
      <c r="I250" s="2">
        <v>5</v>
      </c>
      <c r="J250" s="2" t="s">
        <v>24</v>
      </c>
      <c r="K250" s="2" t="s">
        <v>25</v>
      </c>
      <c r="L250" s="2" t="s">
        <v>50</v>
      </c>
      <c r="M250" s="4" t="str">
        <f t="shared" si="6"/>
        <v>Voluntary</v>
      </c>
      <c r="N250" s="23" t="s">
        <v>26</v>
      </c>
    </row>
    <row r="251" spans="1:14" x14ac:dyDescent="0.25">
      <c r="A251" s="22">
        <v>2002</v>
      </c>
      <c r="B251" s="3">
        <v>33297</v>
      </c>
      <c r="C251" s="3">
        <v>43867</v>
      </c>
      <c r="D251" s="2">
        <f t="shared" si="7"/>
        <v>29</v>
      </c>
      <c r="E251" s="4" t="str" cm="1">
        <f t="array" ref="E251">_xlfn.IFS(
D251&lt;=5,"Newcomer",
D251&lt;=10,"Proficient",
D251&gt;10,"Expert"
)</f>
        <v>Expert</v>
      </c>
      <c r="F251" s="2" t="s">
        <v>107</v>
      </c>
      <c r="G251" s="5" t="s">
        <v>35</v>
      </c>
      <c r="H251" s="5" t="s">
        <v>36</v>
      </c>
      <c r="I251" s="2">
        <v>11</v>
      </c>
      <c r="J251" s="2" t="s">
        <v>24</v>
      </c>
      <c r="K251" s="2" t="s">
        <v>25</v>
      </c>
      <c r="L251" s="2" t="s">
        <v>96</v>
      </c>
      <c r="M251" s="4" t="str">
        <f t="shared" si="6"/>
        <v>Involuntary</v>
      </c>
      <c r="N251" s="23" t="s">
        <v>26</v>
      </c>
    </row>
    <row r="252" spans="1:14" x14ac:dyDescent="0.25">
      <c r="A252" s="22">
        <v>2042</v>
      </c>
      <c r="B252" s="3">
        <v>41390</v>
      </c>
      <c r="C252" s="3">
        <v>44069</v>
      </c>
      <c r="D252" s="2">
        <f t="shared" si="7"/>
        <v>7</v>
      </c>
      <c r="E252" s="4" t="str" cm="1">
        <f t="array" ref="E252">_xlfn.IFS(
D252&lt;=5,"Newcomer",
D252&lt;=10,"Proficient",
D252&gt;10,"Expert"
)</f>
        <v>Proficient</v>
      </c>
      <c r="F252" s="2" t="s">
        <v>108</v>
      </c>
      <c r="G252" s="5" t="s">
        <v>22</v>
      </c>
      <c r="H252" s="5" t="s">
        <v>23</v>
      </c>
      <c r="I252" s="2">
        <v>14</v>
      </c>
      <c r="J252" s="2" t="s">
        <v>17</v>
      </c>
      <c r="K252" s="2" t="s">
        <v>18</v>
      </c>
      <c r="L252" s="2" t="s">
        <v>96</v>
      </c>
      <c r="M252" s="4" t="str">
        <f t="shared" si="6"/>
        <v>Involuntary</v>
      </c>
      <c r="N252" s="23" t="s">
        <v>26</v>
      </c>
    </row>
    <row r="253" spans="1:14" x14ac:dyDescent="0.25">
      <c r="A253" s="22">
        <v>2103</v>
      </c>
      <c r="B253" s="3">
        <v>33592</v>
      </c>
      <c r="C253" s="3">
        <v>44071</v>
      </c>
      <c r="D253" s="2">
        <f t="shared" si="7"/>
        <v>29</v>
      </c>
      <c r="E253" s="4" t="str" cm="1">
        <f t="array" ref="E253">_xlfn.IFS(
D253&lt;=5,"Newcomer",
D253&lt;=10,"Proficient",
D253&gt;10,"Expert"
)</f>
        <v>Expert</v>
      </c>
      <c r="F253" s="2" t="s">
        <v>104</v>
      </c>
      <c r="G253" s="5" t="s">
        <v>42</v>
      </c>
      <c r="H253" s="5" t="s">
        <v>105</v>
      </c>
      <c r="I253" s="2">
        <v>39</v>
      </c>
      <c r="J253" s="2" t="s">
        <v>17</v>
      </c>
      <c r="K253" s="2" t="s">
        <v>18</v>
      </c>
      <c r="L253" s="2" t="s">
        <v>96</v>
      </c>
      <c r="M253" s="4" t="str">
        <f t="shared" si="6"/>
        <v>Involuntary</v>
      </c>
      <c r="N253" s="23" t="s">
        <v>26</v>
      </c>
    </row>
    <row r="254" spans="1:14" x14ac:dyDescent="0.25">
      <c r="A254" s="22">
        <v>2127</v>
      </c>
      <c r="B254" s="3">
        <v>38837</v>
      </c>
      <c r="C254" s="3">
        <v>44092</v>
      </c>
      <c r="D254" s="2">
        <f t="shared" si="7"/>
        <v>14</v>
      </c>
      <c r="E254" s="4" t="str" cm="1">
        <f t="array" ref="E254">_xlfn.IFS(
D254&lt;=5,"Newcomer",
D254&lt;=10,"Proficient",
D254&gt;10,"Expert"
)</f>
        <v>Expert</v>
      </c>
      <c r="F254" s="2" t="s">
        <v>30</v>
      </c>
      <c r="G254" s="5" t="s">
        <v>35</v>
      </c>
      <c r="H254" s="5" t="s">
        <v>76</v>
      </c>
      <c r="I254" s="2">
        <v>46</v>
      </c>
      <c r="J254" s="2" t="s">
        <v>24</v>
      </c>
      <c r="K254" s="2" t="s">
        <v>25</v>
      </c>
      <c r="L254" s="2" t="s">
        <v>50</v>
      </c>
      <c r="M254" s="4" t="str">
        <f t="shared" si="6"/>
        <v>Voluntary</v>
      </c>
      <c r="N254" s="23" t="s">
        <v>26</v>
      </c>
    </row>
    <row r="255" spans="1:14" x14ac:dyDescent="0.25">
      <c r="A255" s="22">
        <v>2164</v>
      </c>
      <c r="B255" s="3">
        <v>39903</v>
      </c>
      <c r="C255" s="3">
        <v>44115</v>
      </c>
      <c r="D255" s="2">
        <f t="shared" si="7"/>
        <v>11</v>
      </c>
      <c r="E255" s="4" t="str" cm="1">
        <f t="array" ref="E255">_xlfn.IFS(
D255&lt;=5,"Newcomer",
D255&lt;=10,"Proficient",
D255&gt;10,"Expert"
)</f>
        <v>Expert</v>
      </c>
      <c r="F255" s="2" t="s">
        <v>27</v>
      </c>
      <c r="G255" s="5" t="s">
        <v>35</v>
      </c>
      <c r="H255" s="5" t="s">
        <v>76</v>
      </c>
      <c r="I255" s="2">
        <v>16</v>
      </c>
      <c r="J255" s="2" t="s">
        <v>17</v>
      </c>
      <c r="K255" s="2" t="s">
        <v>18</v>
      </c>
      <c r="L255" s="2" t="s">
        <v>50</v>
      </c>
      <c r="M255" s="4" t="str">
        <f t="shared" si="6"/>
        <v>Voluntary</v>
      </c>
      <c r="N255" s="23" t="s">
        <v>26</v>
      </c>
    </row>
    <row r="256" spans="1:14" x14ac:dyDescent="0.25">
      <c r="A256" s="22">
        <v>2266</v>
      </c>
      <c r="B256" s="3">
        <v>38663</v>
      </c>
      <c r="C256" s="3">
        <v>44144</v>
      </c>
      <c r="D256" s="2">
        <f t="shared" si="7"/>
        <v>15</v>
      </c>
      <c r="E256" s="4" t="str" cm="1">
        <f t="array" ref="E256">_xlfn.IFS(
D256&lt;=5,"Newcomer",
D256&lt;=10,"Proficient",
D256&gt;10,"Expert"
)</f>
        <v>Expert</v>
      </c>
      <c r="F256" s="2" t="s">
        <v>109</v>
      </c>
      <c r="G256" s="5" t="s">
        <v>62</v>
      </c>
      <c r="H256" s="5" t="s">
        <v>63</v>
      </c>
      <c r="I256" s="2">
        <v>22</v>
      </c>
      <c r="J256" s="2" t="s">
        <v>24</v>
      </c>
      <c r="K256" s="2" t="s">
        <v>25</v>
      </c>
      <c r="L256" s="2" t="s">
        <v>50</v>
      </c>
      <c r="M256" s="4" t="str">
        <f t="shared" si="6"/>
        <v>Voluntary</v>
      </c>
      <c r="N256" s="23" t="s">
        <v>26</v>
      </c>
    </row>
    <row r="257" spans="1:14" x14ac:dyDescent="0.25">
      <c r="A257" s="22">
        <v>2303</v>
      </c>
      <c r="B257" s="3">
        <v>34576</v>
      </c>
      <c r="C257" s="3">
        <v>44030</v>
      </c>
      <c r="D257" s="2">
        <f t="shared" si="7"/>
        <v>26</v>
      </c>
      <c r="E257" s="4" t="str" cm="1">
        <f t="array" ref="E257">_xlfn.IFS(
D257&lt;=5,"Newcomer",
D257&lt;=10,"Proficient",
D257&gt;10,"Expert"
)</f>
        <v>Expert</v>
      </c>
      <c r="F257" s="2" t="s">
        <v>78</v>
      </c>
      <c r="G257" s="5" t="s">
        <v>35</v>
      </c>
      <c r="H257" s="5" t="s">
        <v>76</v>
      </c>
      <c r="I257" s="2">
        <v>21</v>
      </c>
      <c r="J257" s="2" t="s">
        <v>24</v>
      </c>
      <c r="K257" s="2" t="s">
        <v>25</v>
      </c>
      <c r="L257" s="2" t="s">
        <v>19</v>
      </c>
      <c r="M257" s="4" t="str">
        <f t="shared" si="6"/>
        <v>Voluntary</v>
      </c>
      <c r="N257" s="23" t="s">
        <v>26</v>
      </c>
    </row>
    <row r="258" spans="1:14" x14ac:dyDescent="0.25">
      <c r="A258" s="22">
        <v>2304</v>
      </c>
      <c r="B258" s="3">
        <v>40581</v>
      </c>
      <c r="C258" s="3">
        <v>43946</v>
      </c>
      <c r="D258" s="2">
        <f t="shared" si="7"/>
        <v>9</v>
      </c>
      <c r="E258" s="4" t="str" cm="1">
        <f t="array" ref="E258">_xlfn.IFS(
D258&lt;=5,"Newcomer",
D258&lt;=10,"Proficient",
D258&gt;10,"Expert"
)</f>
        <v>Proficient</v>
      </c>
      <c r="F258" s="2" t="s">
        <v>66</v>
      </c>
      <c r="G258" s="5" t="s">
        <v>35</v>
      </c>
      <c r="H258" s="5" t="s">
        <v>76</v>
      </c>
      <c r="I258" s="2">
        <v>36</v>
      </c>
      <c r="J258" s="2" t="s">
        <v>24</v>
      </c>
      <c r="K258" s="2" t="s">
        <v>25</v>
      </c>
      <c r="L258" s="2" t="s">
        <v>19</v>
      </c>
      <c r="M258" s="4" t="str">
        <f t="shared" ref="M258:M321" si="8">IF(OR(L258="Retirement",L258="Resignation"),"Voluntary","Involuntary")</f>
        <v>Voluntary</v>
      </c>
      <c r="N258" s="23" t="s">
        <v>26</v>
      </c>
    </row>
    <row r="259" spans="1:14" x14ac:dyDescent="0.25">
      <c r="A259" s="22">
        <v>2310</v>
      </c>
      <c r="B259" s="3">
        <v>41730</v>
      </c>
      <c r="C259" s="3">
        <v>43901</v>
      </c>
      <c r="D259" s="2">
        <f t="shared" ref="D259:D322" si="9">YEAR(C259)-YEAR(B259)</f>
        <v>6</v>
      </c>
      <c r="E259" s="4" t="str" cm="1">
        <f t="array" ref="E259">_xlfn.IFS(
D259&lt;=5,"Newcomer",
D259&lt;=10,"Proficient",
D259&gt;10,"Expert"
)</f>
        <v>Proficient</v>
      </c>
      <c r="F259" s="2" t="s">
        <v>78</v>
      </c>
      <c r="G259" s="5" t="s">
        <v>35</v>
      </c>
      <c r="H259" s="5" t="s">
        <v>76</v>
      </c>
      <c r="I259" s="2">
        <v>21</v>
      </c>
      <c r="J259" s="2" t="s">
        <v>17</v>
      </c>
      <c r="K259" s="2" t="s">
        <v>18</v>
      </c>
      <c r="L259" s="2" t="s">
        <v>50</v>
      </c>
      <c r="M259" s="4" t="str">
        <f t="shared" si="8"/>
        <v>Voluntary</v>
      </c>
      <c r="N259" s="23" t="s">
        <v>26</v>
      </c>
    </row>
    <row r="260" spans="1:14" x14ac:dyDescent="0.25">
      <c r="A260" s="22">
        <v>2325</v>
      </c>
      <c r="B260" s="3">
        <v>38175</v>
      </c>
      <c r="C260" s="3">
        <v>44070</v>
      </c>
      <c r="D260" s="2">
        <f t="shared" si="9"/>
        <v>16</v>
      </c>
      <c r="E260" s="4" t="str" cm="1">
        <f t="array" ref="E260">_xlfn.IFS(
D260&lt;=5,"Newcomer",
D260&lt;=10,"Proficient",
D260&gt;10,"Expert"
)</f>
        <v>Expert</v>
      </c>
      <c r="F260" s="2" t="s">
        <v>110</v>
      </c>
      <c r="G260" s="5" t="s">
        <v>62</v>
      </c>
      <c r="H260" s="5" t="s">
        <v>63</v>
      </c>
      <c r="I260" s="2">
        <v>34</v>
      </c>
      <c r="J260" s="2" t="s">
        <v>24</v>
      </c>
      <c r="K260" s="2" t="s">
        <v>25</v>
      </c>
      <c r="L260" s="2" t="s">
        <v>96</v>
      </c>
      <c r="M260" s="4" t="str">
        <f t="shared" si="8"/>
        <v>Involuntary</v>
      </c>
      <c r="N260" s="23" t="s">
        <v>26</v>
      </c>
    </row>
    <row r="261" spans="1:14" x14ac:dyDescent="0.25">
      <c r="A261" s="22">
        <v>2332</v>
      </c>
      <c r="B261" s="3">
        <v>39051</v>
      </c>
      <c r="C261" s="3">
        <v>44090</v>
      </c>
      <c r="D261" s="2">
        <f t="shared" si="9"/>
        <v>14</v>
      </c>
      <c r="E261" s="4" t="str" cm="1">
        <f t="array" ref="E261">_xlfn.IFS(
D261&lt;=5,"Newcomer",
D261&lt;=10,"Proficient",
D261&gt;10,"Expert"
)</f>
        <v>Expert</v>
      </c>
      <c r="F261" s="2" t="s">
        <v>70</v>
      </c>
      <c r="G261" s="5" t="s">
        <v>62</v>
      </c>
      <c r="H261" s="5" t="s">
        <v>63</v>
      </c>
      <c r="I261" s="2">
        <v>6</v>
      </c>
      <c r="J261" s="2" t="s">
        <v>24</v>
      </c>
      <c r="K261" s="2" t="s">
        <v>25</v>
      </c>
      <c r="L261" s="2" t="s">
        <v>19</v>
      </c>
      <c r="M261" s="4" t="str">
        <f t="shared" si="8"/>
        <v>Voluntary</v>
      </c>
      <c r="N261" s="23" t="s">
        <v>26</v>
      </c>
    </row>
    <row r="262" spans="1:14" x14ac:dyDescent="0.25">
      <c r="A262" s="22">
        <v>2337</v>
      </c>
      <c r="B262" s="3">
        <v>40053</v>
      </c>
      <c r="C262" s="3">
        <v>43974</v>
      </c>
      <c r="D262" s="2">
        <f t="shared" si="9"/>
        <v>11</v>
      </c>
      <c r="E262" s="4" t="str" cm="1">
        <f t="array" ref="E262">_xlfn.IFS(
D262&lt;=5,"Newcomer",
D262&lt;=10,"Proficient",
D262&gt;10,"Expert"
)</f>
        <v>Expert</v>
      </c>
      <c r="F262" s="2" t="s">
        <v>78</v>
      </c>
      <c r="G262" s="5" t="s">
        <v>35</v>
      </c>
      <c r="H262" s="5" t="s">
        <v>76</v>
      </c>
      <c r="I262" s="2">
        <v>21</v>
      </c>
      <c r="J262" s="2" t="s">
        <v>24</v>
      </c>
      <c r="K262" s="2" t="s">
        <v>25</v>
      </c>
      <c r="L262" s="2" t="s">
        <v>19</v>
      </c>
      <c r="M262" s="4" t="str">
        <f t="shared" si="8"/>
        <v>Voluntary</v>
      </c>
      <c r="N262" s="23" t="s">
        <v>26</v>
      </c>
    </row>
    <row r="263" spans="1:14" x14ac:dyDescent="0.25">
      <c r="A263" s="22">
        <v>2342</v>
      </c>
      <c r="B263" s="3">
        <v>38501</v>
      </c>
      <c r="C263" s="3">
        <v>43948</v>
      </c>
      <c r="D263" s="2">
        <f t="shared" si="9"/>
        <v>15</v>
      </c>
      <c r="E263" s="4" t="str" cm="1">
        <f t="array" ref="E263">_xlfn.IFS(
D263&lt;=5,"Newcomer",
D263&lt;=10,"Proficient",
D263&gt;10,"Expert"
)</f>
        <v>Expert</v>
      </c>
      <c r="F263" s="2" t="s">
        <v>44</v>
      </c>
      <c r="G263" s="5" t="s">
        <v>35</v>
      </c>
      <c r="H263" s="5" t="s">
        <v>76</v>
      </c>
      <c r="I263" s="2">
        <v>18</v>
      </c>
      <c r="J263" s="2" t="s">
        <v>24</v>
      </c>
      <c r="K263" s="2" t="s">
        <v>25</v>
      </c>
      <c r="L263" s="2" t="s">
        <v>19</v>
      </c>
      <c r="M263" s="4" t="str">
        <f t="shared" si="8"/>
        <v>Voluntary</v>
      </c>
      <c r="N263" s="23" t="s">
        <v>26</v>
      </c>
    </row>
    <row r="264" spans="1:14" x14ac:dyDescent="0.25">
      <c r="A264" s="22">
        <v>2348</v>
      </c>
      <c r="B264" s="3">
        <v>38179</v>
      </c>
      <c r="C264" s="3">
        <v>44165</v>
      </c>
      <c r="D264" s="2">
        <f t="shared" si="9"/>
        <v>16</v>
      </c>
      <c r="E264" s="4" t="str" cm="1">
        <f t="array" ref="E264">_xlfn.IFS(
D264&lt;=5,"Newcomer",
D264&lt;=10,"Proficient",
D264&gt;10,"Expert"
)</f>
        <v>Expert</v>
      </c>
      <c r="F264" s="2" t="s">
        <v>73</v>
      </c>
      <c r="G264" s="5" t="s">
        <v>62</v>
      </c>
      <c r="H264" s="5" t="s">
        <v>63</v>
      </c>
      <c r="I264" s="2">
        <v>32</v>
      </c>
      <c r="J264" s="2" t="s">
        <v>24</v>
      </c>
      <c r="K264" s="2" t="s">
        <v>25</v>
      </c>
      <c r="L264" s="2" t="s">
        <v>19</v>
      </c>
      <c r="M264" s="4" t="str">
        <f t="shared" si="8"/>
        <v>Voluntary</v>
      </c>
      <c r="N264" s="23" t="s">
        <v>26</v>
      </c>
    </row>
    <row r="265" spans="1:14" x14ac:dyDescent="0.25">
      <c r="A265" s="22">
        <v>2350</v>
      </c>
      <c r="B265" s="3">
        <v>36986</v>
      </c>
      <c r="C265" s="3">
        <v>43929</v>
      </c>
      <c r="D265" s="2">
        <f t="shared" si="9"/>
        <v>19</v>
      </c>
      <c r="E265" s="4" t="str" cm="1">
        <f t="array" ref="E265">_xlfn.IFS(
D265&lt;=5,"Newcomer",
D265&lt;=10,"Proficient",
D265&gt;10,"Expert"
)</f>
        <v>Expert</v>
      </c>
      <c r="F265" s="2" t="s">
        <v>79</v>
      </c>
      <c r="G265" s="5" t="s">
        <v>35</v>
      </c>
      <c r="H265" s="5" t="s">
        <v>76</v>
      </c>
      <c r="I265" s="2">
        <v>25</v>
      </c>
      <c r="J265" s="2" t="s">
        <v>24</v>
      </c>
      <c r="K265" s="2" t="s">
        <v>25</v>
      </c>
      <c r="L265" s="2" t="s">
        <v>19</v>
      </c>
      <c r="M265" s="4" t="str">
        <f t="shared" si="8"/>
        <v>Voluntary</v>
      </c>
      <c r="N265" s="23" t="s">
        <v>26</v>
      </c>
    </row>
    <row r="266" spans="1:14" x14ac:dyDescent="0.25">
      <c r="A266" s="22">
        <v>2360</v>
      </c>
      <c r="B266" s="3">
        <v>34151</v>
      </c>
      <c r="C266" s="3">
        <v>44136</v>
      </c>
      <c r="D266" s="2">
        <f t="shared" si="9"/>
        <v>27</v>
      </c>
      <c r="E266" s="4" t="str" cm="1">
        <f t="array" ref="E266">_xlfn.IFS(
D266&lt;=5,"Newcomer",
D266&lt;=10,"Proficient",
D266&gt;10,"Expert"
)</f>
        <v>Expert</v>
      </c>
      <c r="F266" s="2" t="s">
        <v>44</v>
      </c>
      <c r="G266" s="5" t="s">
        <v>35</v>
      </c>
      <c r="H266" s="5" t="s">
        <v>76</v>
      </c>
      <c r="I266" s="2">
        <v>18</v>
      </c>
      <c r="J266" s="2" t="s">
        <v>24</v>
      </c>
      <c r="K266" s="2" t="s">
        <v>25</v>
      </c>
      <c r="L266" s="2" t="s">
        <v>19</v>
      </c>
      <c r="M266" s="4" t="str">
        <f t="shared" si="8"/>
        <v>Voluntary</v>
      </c>
      <c r="N266" s="23" t="s">
        <v>26</v>
      </c>
    </row>
    <row r="267" spans="1:14" x14ac:dyDescent="0.25">
      <c r="A267" s="22">
        <v>2365</v>
      </c>
      <c r="B267" s="3">
        <v>33254</v>
      </c>
      <c r="C267" s="3">
        <v>44143</v>
      </c>
      <c r="D267" s="2">
        <f t="shared" si="9"/>
        <v>29</v>
      </c>
      <c r="E267" s="4" t="str" cm="1">
        <f t="array" ref="E267">_xlfn.IFS(
D267&lt;=5,"Newcomer",
D267&lt;=10,"Proficient",
D267&gt;10,"Expert"
)</f>
        <v>Expert</v>
      </c>
      <c r="F267" s="2" t="s">
        <v>89</v>
      </c>
      <c r="G267" s="5" t="s">
        <v>35</v>
      </c>
      <c r="H267" s="5" t="s">
        <v>76</v>
      </c>
      <c r="I267" s="2">
        <v>33</v>
      </c>
      <c r="J267" s="2" t="s">
        <v>24</v>
      </c>
      <c r="K267" s="2" t="s">
        <v>25</v>
      </c>
      <c r="L267" s="2" t="s">
        <v>19</v>
      </c>
      <c r="M267" s="4" t="str">
        <f t="shared" si="8"/>
        <v>Voluntary</v>
      </c>
      <c r="N267" s="23" t="s">
        <v>26</v>
      </c>
    </row>
    <row r="268" spans="1:14" x14ac:dyDescent="0.25">
      <c r="A268" s="22">
        <v>2380</v>
      </c>
      <c r="B268" s="3">
        <v>38733</v>
      </c>
      <c r="C268" s="3">
        <v>43891</v>
      </c>
      <c r="D268" s="2">
        <f t="shared" si="9"/>
        <v>14</v>
      </c>
      <c r="E268" s="4" t="str" cm="1">
        <f t="array" ref="E268">_xlfn.IFS(
D268&lt;=5,"Newcomer",
D268&lt;=10,"Proficient",
D268&gt;10,"Expert"
)</f>
        <v>Expert</v>
      </c>
      <c r="F268" s="2" t="s">
        <v>111</v>
      </c>
      <c r="G268" s="5" t="s">
        <v>62</v>
      </c>
      <c r="H268" s="5" t="s">
        <v>63</v>
      </c>
      <c r="I268" s="2">
        <v>23</v>
      </c>
      <c r="J268" s="2" t="s">
        <v>17</v>
      </c>
      <c r="K268" s="2" t="s">
        <v>18</v>
      </c>
      <c r="L268" s="2" t="s">
        <v>96</v>
      </c>
      <c r="M268" s="4" t="str">
        <f t="shared" si="8"/>
        <v>Involuntary</v>
      </c>
      <c r="N268" s="23" t="s">
        <v>26</v>
      </c>
    </row>
    <row r="269" spans="1:14" x14ac:dyDescent="0.25">
      <c r="A269" s="22">
        <v>2386</v>
      </c>
      <c r="B269" s="3">
        <v>36913</v>
      </c>
      <c r="C269" s="3">
        <v>43885</v>
      </c>
      <c r="D269" s="2">
        <f t="shared" si="9"/>
        <v>19</v>
      </c>
      <c r="E269" s="4" t="str" cm="1">
        <f t="array" ref="E269">_xlfn.IFS(
D269&lt;=5,"Newcomer",
D269&lt;=10,"Proficient",
D269&gt;10,"Expert"
)</f>
        <v>Expert</v>
      </c>
      <c r="F269" s="2" t="s">
        <v>78</v>
      </c>
      <c r="G269" s="5" t="s">
        <v>35</v>
      </c>
      <c r="H269" s="5" t="s">
        <v>76</v>
      </c>
      <c r="I269" s="2">
        <v>21</v>
      </c>
      <c r="J269" s="2" t="s">
        <v>24</v>
      </c>
      <c r="K269" s="2" t="s">
        <v>25</v>
      </c>
      <c r="L269" s="2" t="s">
        <v>19</v>
      </c>
      <c r="M269" s="4" t="str">
        <f t="shared" si="8"/>
        <v>Voluntary</v>
      </c>
      <c r="N269" s="23" t="s">
        <v>26</v>
      </c>
    </row>
    <row r="270" spans="1:14" x14ac:dyDescent="0.25">
      <c r="A270" s="22">
        <v>2388</v>
      </c>
      <c r="B270" s="3">
        <v>34674</v>
      </c>
      <c r="C270" s="3">
        <v>44023</v>
      </c>
      <c r="D270" s="2">
        <f t="shared" si="9"/>
        <v>26</v>
      </c>
      <c r="E270" s="4" t="str" cm="1">
        <f t="array" ref="E270">_xlfn.IFS(
D270&lt;=5,"Newcomer",
D270&lt;=10,"Proficient",
D270&gt;10,"Expert"
)</f>
        <v>Expert</v>
      </c>
      <c r="F270" s="2" t="s">
        <v>78</v>
      </c>
      <c r="G270" s="5" t="s">
        <v>35</v>
      </c>
      <c r="H270" s="5" t="s">
        <v>76</v>
      </c>
      <c r="I270" s="2">
        <v>21</v>
      </c>
      <c r="J270" s="2" t="s">
        <v>24</v>
      </c>
      <c r="K270" s="2" t="s">
        <v>25</v>
      </c>
      <c r="L270" s="2" t="s">
        <v>19</v>
      </c>
      <c r="M270" s="4" t="str">
        <f t="shared" si="8"/>
        <v>Voluntary</v>
      </c>
      <c r="N270" s="23" t="s">
        <v>26</v>
      </c>
    </row>
    <row r="271" spans="1:14" x14ac:dyDescent="0.25">
      <c r="A271" s="22">
        <v>2392</v>
      </c>
      <c r="B271" s="3">
        <v>32941</v>
      </c>
      <c r="C271" s="3">
        <v>44187</v>
      </c>
      <c r="D271" s="2">
        <f t="shared" si="9"/>
        <v>30</v>
      </c>
      <c r="E271" s="4" t="str" cm="1">
        <f t="array" ref="E271">_xlfn.IFS(
D271&lt;=5,"Newcomer",
D271&lt;=10,"Proficient",
D271&gt;10,"Expert"
)</f>
        <v>Expert</v>
      </c>
      <c r="F271" s="2" t="s">
        <v>78</v>
      </c>
      <c r="G271" s="5" t="s">
        <v>35</v>
      </c>
      <c r="H271" s="5" t="s">
        <v>76</v>
      </c>
      <c r="I271" s="2">
        <v>21</v>
      </c>
      <c r="J271" s="2" t="s">
        <v>24</v>
      </c>
      <c r="K271" s="2" t="s">
        <v>25</v>
      </c>
      <c r="L271" s="2" t="s">
        <v>19</v>
      </c>
      <c r="M271" s="4" t="str">
        <f t="shared" si="8"/>
        <v>Voluntary</v>
      </c>
      <c r="N271" s="23" t="s">
        <v>26</v>
      </c>
    </row>
    <row r="272" spans="1:14" x14ac:dyDescent="0.25">
      <c r="A272" s="22">
        <v>2395</v>
      </c>
      <c r="B272" s="3">
        <v>34287</v>
      </c>
      <c r="C272" s="3">
        <v>44183</v>
      </c>
      <c r="D272" s="2">
        <f t="shared" si="9"/>
        <v>27</v>
      </c>
      <c r="E272" s="4" t="str" cm="1">
        <f t="array" ref="E272">_xlfn.IFS(
D272&lt;=5,"Newcomer",
D272&lt;=10,"Proficient",
D272&gt;10,"Expert"
)</f>
        <v>Expert</v>
      </c>
      <c r="F272" s="2" t="s">
        <v>30</v>
      </c>
      <c r="G272" s="5" t="s">
        <v>35</v>
      </c>
      <c r="H272" s="5" t="s">
        <v>76</v>
      </c>
      <c r="I272" s="2">
        <v>37</v>
      </c>
      <c r="J272" s="2" t="s">
        <v>24</v>
      </c>
      <c r="K272" s="2" t="s">
        <v>25</v>
      </c>
      <c r="L272" s="2" t="s">
        <v>19</v>
      </c>
      <c r="M272" s="4" t="str">
        <f t="shared" si="8"/>
        <v>Voluntary</v>
      </c>
      <c r="N272" s="23" t="s">
        <v>26</v>
      </c>
    </row>
    <row r="273" spans="1:14" x14ac:dyDescent="0.25">
      <c r="A273" s="22">
        <v>2396</v>
      </c>
      <c r="B273" s="3">
        <v>38125</v>
      </c>
      <c r="C273" s="3">
        <v>44190</v>
      </c>
      <c r="D273" s="2">
        <f t="shared" si="9"/>
        <v>16</v>
      </c>
      <c r="E273" s="4" t="str" cm="1">
        <f t="array" ref="E273">_xlfn.IFS(
D273&lt;=5,"Newcomer",
D273&lt;=10,"Proficient",
D273&gt;10,"Expert"
)</f>
        <v>Expert</v>
      </c>
      <c r="F273" s="2" t="s">
        <v>86</v>
      </c>
      <c r="G273" s="5" t="s">
        <v>35</v>
      </c>
      <c r="H273" s="5" t="s">
        <v>76</v>
      </c>
      <c r="I273" s="2">
        <v>8</v>
      </c>
      <c r="J273" s="2" t="s">
        <v>24</v>
      </c>
      <c r="K273" s="2" t="s">
        <v>25</v>
      </c>
      <c r="L273" s="2" t="s">
        <v>19</v>
      </c>
      <c r="M273" s="4" t="str">
        <f t="shared" si="8"/>
        <v>Voluntary</v>
      </c>
      <c r="N273" s="23" t="s">
        <v>26</v>
      </c>
    </row>
    <row r="274" spans="1:14" x14ac:dyDescent="0.25">
      <c r="A274" s="22">
        <v>2400</v>
      </c>
      <c r="B274" s="3">
        <v>35689</v>
      </c>
      <c r="C274" s="3">
        <v>43984</v>
      </c>
      <c r="D274" s="2">
        <f t="shared" si="9"/>
        <v>23</v>
      </c>
      <c r="E274" s="4" t="str" cm="1">
        <f t="array" ref="E274">_xlfn.IFS(
D274&lt;=5,"Newcomer",
D274&lt;=10,"Proficient",
D274&gt;10,"Expert"
)</f>
        <v>Expert</v>
      </c>
      <c r="F274" s="2" t="s">
        <v>41</v>
      </c>
      <c r="G274" s="5" t="s">
        <v>35</v>
      </c>
      <c r="H274" s="5" t="s">
        <v>76</v>
      </c>
      <c r="I274" s="2">
        <v>15</v>
      </c>
      <c r="J274" s="2" t="s">
        <v>24</v>
      </c>
      <c r="K274" s="2" t="s">
        <v>25</v>
      </c>
      <c r="L274" s="2" t="s">
        <v>19</v>
      </c>
      <c r="M274" s="4" t="str">
        <f t="shared" si="8"/>
        <v>Voluntary</v>
      </c>
      <c r="N274" s="23" t="s">
        <v>26</v>
      </c>
    </row>
    <row r="275" spans="1:14" x14ac:dyDescent="0.25">
      <c r="A275" s="22">
        <v>2406</v>
      </c>
      <c r="B275" s="3">
        <v>40730</v>
      </c>
      <c r="C275" s="3">
        <v>44047</v>
      </c>
      <c r="D275" s="2">
        <f t="shared" si="9"/>
        <v>9</v>
      </c>
      <c r="E275" s="4" t="str" cm="1">
        <f t="array" ref="E275">_xlfn.IFS(
D275&lt;=5,"Newcomer",
D275&lt;=10,"Proficient",
D275&gt;10,"Expert"
)</f>
        <v>Proficient</v>
      </c>
      <c r="F275" s="2" t="s">
        <v>41</v>
      </c>
      <c r="G275" s="5" t="s">
        <v>35</v>
      </c>
      <c r="H275" s="5" t="s">
        <v>76</v>
      </c>
      <c r="I275" s="2">
        <v>15</v>
      </c>
      <c r="J275" s="2" t="s">
        <v>24</v>
      </c>
      <c r="K275" s="2" t="s">
        <v>25</v>
      </c>
      <c r="L275" s="2" t="s">
        <v>19</v>
      </c>
      <c r="M275" s="4" t="str">
        <f t="shared" si="8"/>
        <v>Voluntary</v>
      </c>
      <c r="N275" s="23" t="s">
        <v>26</v>
      </c>
    </row>
    <row r="276" spans="1:14" x14ac:dyDescent="0.25">
      <c r="A276" s="22">
        <v>2411</v>
      </c>
      <c r="B276" s="3">
        <v>38713</v>
      </c>
      <c r="C276" s="3">
        <v>43914</v>
      </c>
      <c r="D276" s="2">
        <f t="shared" si="9"/>
        <v>15</v>
      </c>
      <c r="E276" s="4" t="str" cm="1">
        <f t="array" ref="E276">_xlfn.IFS(
D276&lt;=5,"Newcomer",
D276&lt;=10,"Proficient",
D276&gt;10,"Expert"
)</f>
        <v>Expert</v>
      </c>
      <c r="F276" s="2" t="s">
        <v>101</v>
      </c>
      <c r="G276" s="5" t="s">
        <v>62</v>
      </c>
      <c r="H276" s="5" t="s">
        <v>63</v>
      </c>
      <c r="I276" s="2">
        <v>38</v>
      </c>
      <c r="J276" s="2" t="s">
        <v>24</v>
      </c>
      <c r="K276" s="2" t="s">
        <v>25</v>
      </c>
      <c r="L276" s="2" t="s">
        <v>19</v>
      </c>
      <c r="M276" s="4" t="str">
        <f t="shared" si="8"/>
        <v>Voluntary</v>
      </c>
      <c r="N276" s="23" t="s">
        <v>26</v>
      </c>
    </row>
    <row r="277" spans="1:14" x14ac:dyDescent="0.25">
      <c r="A277" s="22">
        <v>2412</v>
      </c>
      <c r="B277" s="3">
        <v>37801</v>
      </c>
      <c r="C277" s="3">
        <v>43859</v>
      </c>
      <c r="D277" s="2">
        <f t="shared" si="9"/>
        <v>17</v>
      </c>
      <c r="E277" s="4" t="str" cm="1">
        <f t="array" ref="E277">_xlfn.IFS(
D277&lt;=5,"Newcomer",
D277&lt;=10,"Proficient",
D277&gt;10,"Expert"
)</f>
        <v>Expert</v>
      </c>
      <c r="F277" s="2" t="s">
        <v>73</v>
      </c>
      <c r="G277" s="5" t="s">
        <v>62</v>
      </c>
      <c r="H277" s="5" t="s">
        <v>63</v>
      </c>
      <c r="I277" s="2">
        <v>32</v>
      </c>
      <c r="J277" s="2" t="s">
        <v>24</v>
      </c>
      <c r="K277" s="2" t="s">
        <v>25</v>
      </c>
      <c r="L277" s="2" t="s">
        <v>19</v>
      </c>
      <c r="M277" s="4" t="str">
        <f t="shared" si="8"/>
        <v>Voluntary</v>
      </c>
      <c r="N277" s="23" t="s">
        <v>26</v>
      </c>
    </row>
    <row r="278" spans="1:14" x14ac:dyDescent="0.25">
      <c r="A278" s="22">
        <v>2415</v>
      </c>
      <c r="B278" s="3">
        <v>33541</v>
      </c>
      <c r="C278" s="3">
        <v>44177</v>
      </c>
      <c r="D278" s="2">
        <f t="shared" si="9"/>
        <v>29</v>
      </c>
      <c r="E278" s="4" t="str" cm="1">
        <f t="array" ref="E278">_xlfn.IFS(
D278&lt;=5,"Newcomer",
D278&lt;=10,"Proficient",
D278&gt;10,"Expert"
)</f>
        <v>Expert</v>
      </c>
      <c r="F278" s="2" t="s">
        <v>44</v>
      </c>
      <c r="G278" s="5" t="s">
        <v>35</v>
      </c>
      <c r="H278" s="5" t="s">
        <v>76</v>
      </c>
      <c r="I278" s="2">
        <v>18</v>
      </c>
      <c r="J278" s="2" t="s">
        <v>17</v>
      </c>
      <c r="K278" s="2" t="s">
        <v>18</v>
      </c>
      <c r="L278" s="2" t="s">
        <v>50</v>
      </c>
      <c r="M278" s="4" t="str">
        <f t="shared" si="8"/>
        <v>Voluntary</v>
      </c>
      <c r="N278" s="23" t="s">
        <v>26</v>
      </c>
    </row>
    <row r="279" spans="1:14" x14ac:dyDescent="0.25">
      <c r="A279" s="22">
        <v>2417</v>
      </c>
      <c r="B279" s="3">
        <v>41189</v>
      </c>
      <c r="C279" s="3">
        <v>44086</v>
      </c>
      <c r="D279" s="2">
        <f t="shared" si="9"/>
        <v>8</v>
      </c>
      <c r="E279" s="4" t="str" cm="1">
        <f t="array" ref="E279">_xlfn.IFS(
D279&lt;=5,"Newcomer",
D279&lt;=10,"Proficient",
D279&gt;10,"Expert"
)</f>
        <v>Proficient</v>
      </c>
      <c r="F279" s="2" t="s">
        <v>112</v>
      </c>
      <c r="G279" s="5" t="s">
        <v>35</v>
      </c>
      <c r="H279" s="5" t="s">
        <v>76</v>
      </c>
      <c r="I279" s="2">
        <v>24</v>
      </c>
      <c r="J279" s="2" t="s">
        <v>24</v>
      </c>
      <c r="K279" s="2" t="s">
        <v>25</v>
      </c>
      <c r="L279" s="2" t="s">
        <v>19</v>
      </c>
      <c r="M279" s="4" t="str">
        <f t="shared" si="8"/>
        <v>Voluntary</v>
      </c>
      <c r="N279" s="23" t="s">
        <v>26</v>
      </c>
    </row>
    <row r="280" spans="1:14" x14ac:dyDescent="0.25">
      <c r="A280" s="22">
        <v>2419</v>
      </c>
      <c r="B280" s="3">
        <v>35299</v>
      </c>
      <c r="C280" s="3">
        <v>43925</v>
      </c>
      <c r="D280" s="2">
        <f t="shared" si="9"/>
        <v>24</v>
      </c>
      <c r="E280" s="4" t="str" cm="1">
        <f t="array" ref="E280">_xlfn.IFS(
D280&lt;=5,"Newcomer",
D280&lt;=10,"Proficient",
D280&gt;10,"Expert"
)</f>
        <v>Expert</v>
      </c>
      <c r="F280" s="2" t="s">
        <v>49</v>
      </c>
      <c r="G280" s="5" t="s">
        <v>62</v>
      </c>
      <c r="H280" s="5" t="s">
        <v>63</v>
      </c>
      <c r="I280" s="2">
        <v>12</v>
      </c>
      <c r="J280" s="2" t="s">
        <v>24</v>
      </c>
      <c r="K280" s="2" t="s">
        <v>25</v>
      </c>
      <c r="L280" s="2" t="s">
        <v>19</v>
      </c>
      <c r="M280" s="4" t="str">
        <f t="shared" si="8"/>
        <v>Voluntary</v>
      </c>
      <c r="N280" s="23" t="s">
        <v>26</v>
      </c>
    </row>
    <row r="281" spans="1:14" x14ac:dyDescent="0.25">
      <c r="A281" s="22">
        <v>2425</v>
      </c>
      <c r="B281" s="3">
        <v>36961</v>
      </c>
      <c r="C281" s="3">
        <v>44017</v>
      </c>
      <c r="D281" s="2">
        <f t="shared" si="9"/>
        <v>19</v>
      </c>
      <c r="E281" s="4" t="str" cm="1">
        <f t="array" ref="E281">_xlfn.IFS(
D281&lt;=5,"Newcomer",
D281&lt;=10,"Proficient",
D281&gt;10,"Expert"
)</f>
        <v>Expert</v>
      </c>
      <c r="F281" s="2" t="s">
        <v>14</v>
      </c>
      <c r="G281" s="5" t="s">
        <v>62</v>
      </c>
      <c r="H281" s="5" t="s">
        <v>63</v>
      </c>
      <c r="I281" s="2">
        <v>35</v>
      </c>
      <c r="J281" s="2" t="s">
        <v>24</v>
      </c>
      <c r="K281" s="2" t="s">
        <v>25</v>
      </c>
      <c r="L281" s="2" t="s">
        <v>19</v>
      </c>
      <c r="M281" s="4" t="str">
        <f t="shared" si="8"/>
        <v>Voluntary</v>
      </c>
      <c r="N281" s="23" t="s">
        <v>26</v>
      </c>
    </row>
    <row r="282" spans="1:14" x14ac:dyDescent="0.25">
      <c r="A282" s="22">
        <v>2440</v>
      </c>
      <c r="B282" s="3">
        <v>37734</v>
      </c>
      <c r="C282" s="3">
        <v>43960</v>
      </c>
      <c r="D282" s="2">
        <f t="shared" si="9"/>
        <v>17</v>
      </c>
      <c r="E282" s="4" t="str" cm="1">
        <f t="array" ref="E282">_xlfn.IFS(
D282&lt;=5,"Newcomer",
D282&lt;=10,"Proficient",
D282&gt;10,"Expert"
)</f>
        <v>Expert</v>
      </c>
      <c r="F282" s="2" t="s">
        <v>86</v>
      </c>
      <c r="G282" s="5" t="s">
        <v>35</v>
      </c>
      <c r="H282" s="5" t="s">
        <v>76</v>
      </c>
      <c r="I282" s="2">
        <v>8</v>
      </c>
      <c r="J282" s="2" t="s">
        <v>24</v>
      </c>
      <c r="K282" s="2" t="s">
        <v>25</v>
      </c>
      <c r="L282" s="2" t="s">
        <v>19</v>
      </c>
      <c r="M282" s="4" t="str">
        <f t="shared" si="8"/>
        <v>Voluntary</v>
      </c>
      <c r="N282" s="23" t="s">
        <v>26</v>
      </c>
    </row>
    <row r="283" spans="1:14" x14ac:dyDescent="0.25">
      <c r="A283" s="22">
        <v>2442</v>
      </c>
      <c r="B283" s="3">
        <v>40921</v>
      </c>
      <c r="C283" s="3">
        <v>43959</v>
      </c>
      <c r="D283" s="2">
        <f t="shared" si="9"/>
        <v>8</v>
      </c>
      <c r="E283" s="4" t="str" cm="1">
        <f t="array" ref="E283">_xlfn.IFS(
D283&lt;=5,"Newcomer",
D283&lt;=10,"Proficient",
D283&gt;10,"Expert"
)</f>
        <v>Proficient</v>
      </c>
      <c r="F283" s="2" t="s">
        <v>100</v>
      </c>
      <c r="G283" s="5" t="s">
        <v>35</v>
      </c>
      <c r="H283" s="5" t="s">
        <v>36</v>
      </c>
      <c r="I283" s="2">
        <v>13</v>
      </c>
      <c r="J283" s="2" t="s">
        <v>17</v>
      </c>
      <c r="K283" s="2" t="s">
        <v>18</v>
      </c>
      <c r="L283" s="2" t="s">
        <v>96</v>
      </c>
      <c r="M283" s="4" t="str">
        <f t="shared" si="8"/>
        <v>Involuntary</v>
      </c>
      <c r="N283" s="23" t="s">
        <v>26</v>
      </c>
    </row>
    <row r="284" spans="1:14" x14ac:dyDescent="0.25">
      <c r="A284" s="22">
        <v>2452</v>
      </c>
      <c r="B284" s="3">
        <v>34859</v>
      </c>
      <c r="C284" s="3">
        <v>44170</v>
      </c>
      <c r="D284" s="2">
        <f t="shared" si="9"/>
        <v>25</v>
      </c>
      <c r="E284" s="4" t="str" cm="1">
        <f t="array" ref="E284">_xlfn.IFS(
D284&lt;=5,"Newcomer",
D284&lt;=10,"Proficient",
D284&gt;10,"Expert"
)</f>
        <v>Expert</v>
      </c>
      <c r="F284" s="2" t="s">
        <v>78</v>
      </c>
      <c r="G284" s="5" t="s">
        <v>35</v>
      </c>
      <c r="H284" s="5" t="s">
        <v>76</v>
      </c>
      <c r="I284" s="2">
        <v>21</v>
      </c>
      <c r="J284" s="2" t="s">
        <v>24</v>
      </c>
      <c r="K284" s="2" t="s">
        <v>25</v>
      </c>
      <c r="L284" s="2" t="s">
        <v>19</v>
      </c>
      <c r="M284" s="4" t="str">
        <f t="shared" si="8"/>
        <v>Voluntary</v>
      </c>
      <c r="N284" s="23" t="s">
        <v>26</v>
      </c>
    </row>
    <row r="285" spans="1:14" x14ac:dyDescent="0.25">
      <c r="A285" s="22">
        <v>2453</v>
      </c>
      <c r="B285" s="3">
        <v>37942</v>
      </c>
      <c r="C285" s="3">
        <v>44177</v>
      </c>
      <c r="D285" s="2">
        <f t="shared" si="9"/>
        <v>17</v>
      </c>
      <c r="E285" s="4" t="str" cm="1">
        <f t="array" ref="E285">_xlfn.IFS(
D285&lt;=5,"Newcomer",
D285&lt;=10,"Proficient",
D285&gt;10,"Expert"
)</f>
        <v>Expert</v>
      </c>
      <c r="F285" s="2" t="s">
        <v>112</v>
      </c>
      <c r="G285" s="5" t="s">
        <v>42</v>
      </c>
      <c r="H285" s="5" t="s">
        <v>105</v>
      </c>
      <c r="I285" s="2">
        <v>24</v>
      </c>
      <c r="J285" s="2" t="s">
        <v>24</v>
      </c>
      <c r="K285" s="2" t="s">
        <v>25</v>
      </c>
      <c r="L285" s="2" t="s">
        <v>19</v>
      </c>
      <c r="M285" s="4" t="str">
        <f t="shared" si="8"/>
        <v>Voluntary</v>
      </c>
      <c r="N285" s="23" t="s">
        <v>26</v>
      </c>
    </row>
    <row r="286" spans="1:14" x14ac:dyDescent="0.25">
      <c r="A286" s="22">
        <v>2456</v>
      </c>
      <c r="B286" s="3">
        <v>40893</v>
      </c>
      <c r="C286" s="3">
        <v>43988</v>
      </c>
      <c r="D286" s="2">
        <f t="shared" si="9"/>
        <v>9</v>
      </c>
      <c r="E286" s="4" t="str" cm="1">
        <f t="array" ref="E286">_xlfn.IFS(
D286&lt;=5,"Newcomer",
D286&lt;=10,"Proficient",
D286&gt;10,"Expert"
)</f>
        <v>Proficient</v>
      </c>
      <c r="F286" s="2" t="s">
        <v>90</v>
      </c>
      <c r="G286" s="5" t="s">
        <v>35</v>
      </c>
      <c r="H286" s="5" t="s">
        <v>76</v>
      </c>
      <c r="I286" s="2">
        <v>26</v>
      </c>
      <c r="J286" s="2" t="s">
        <v>24</v>
      </c>
      <c r="K286" s="2" t="s">
        <v>25</v>
      </c>
      <c r="L286" s="2" t="s">
        <v>19</v>
      </c>
      <c r="M286" s="4" t="str">
        <f t="shared" si="8"/>
        <v>Voluntary</v>
      </c>
      <c r="N286" s="23" t="s">
        <v>26</v>
      </c>
    </row>
    <row r="287" spans="1:14" x14ac:dyDescent="0.25">
      <c r="A287" s="22">
        <v>2464</v>
      </c>
      <c r="B287" s="3">
        <v>37600</v>
      </c>
      <c r="C287" s="3">
        <v>44135</v>
      </c>
      <c r="D287" s="2">
        <f t="shared" si="9"/>
        <v>18</v>
      </c>
      <c r="E287" s="4" t="str" cm="1">
        <f t="array" ref="E287">_xlfn.IFS(
D287&lt;=5,"Newcomer",
D287&lt;=10,"Proficient",
D287&gt;10,"Expert"
)</f>
        <v>Expert</v>
      </c>
      <c r="F287" s="2" t="s">
        <v>49</v>
      </c>
      <c r="G287" s="5" t="s">
        <v>62</v>
      </c>
      <c r="H287" s="5" t="s">
        <v>63</v>
      </c>
      <c r="I287" s="2">
        <v>12</v>
      </c>
      <c r="J287" s="2" t="s">
        <v>24</v>
      </c>
      <c r="K287" s="2" t="s">
        <v>25</v>
      </c>
      <c r="L287" s="2" t="s">
        <v>19</v>
      </c>
      <c r="M287" s="4" t="str">
        <f t="shared" si="8"/>
        <v>Voluntary</v>
      </c>
      <c r="N287" s="23" t="s">
        <v>26</v>
      </c>
    </row>
    <row r="288" spans="1:14" x14ac:dyDescent="0.25">
      <c r="A288" s="22">
        <v>2467</v>
      </c>
      <c r="B288" s="3">
        <v>38663</v>
      </c>
      <c r="C288" s="3">
        <v>44174</v>
      </c>
      <c r="D288" s="2">
        <f t="shared" si="9"/>
        <v>15</v>
      </c>
      <c r="E288" s="4" t="str" cm="1">
        <f t="array" ref="E288">_xlfn.IFS(
D288&lt;=5,"Newcomer",
D288&lt;=10,"Proficient",
D288&gt;10,"Expert"
)</f>
        <v>Expert</v>
      </c>
      <c r="F288" s="2" t="s">
        <v>30</v>
      </c>
      <c r="G288" s="5" t="s">
        <v>35</v>
      </c>
      <c r="H288" s="5" t="s">
        <v>76</v>
      </c>
      <c r="I288" s="2">
        <v>37</v>
      </c>
      <c r="J288" s="2" t="s">
        <v>24</v>
      </c>
      <c r="K288" s="2" t="s">
        <v>25</v>
      </c>
      <c r="L288" s="2" t="s">
        <v>19</v>
      </c>
      <c r="M288" s="4" t="str">
        <f t="shared" si="8"/>
        <v>Voluntary</v>
      </c>
      <c r="N288" s="23" t="s">
        <v>26</v>
      </c>
    </row>
    <row r="289" spans="1:14" x14ac:dyDescent="0.25">
      <c r="A289" s="22">
        <v>2469</v>
      </c>
      <c r="B289" s="3">
        <v>38126</v>
      </c>
      <c r="C289" s="3">
        <v>43956</v>
      </c>
      <c r="D289" s="2">
        <f t="shared" si="9"/>
        <v>16</v>
      </c>
      <c r="E289" s="4" t="str" cm="1">
        <f t="array" ref="E289">_xlfn.IFS(
D289&lt;=5,"Newcomer",
D289&lt;=10,"Proficient",
D289&gt;10,"Expert"
)</f>
        <v>Expert</v>
      </c>
      <c r="F289" s="2" t="s">
        <v>27</v>
      </c>
      <c r="G289" s="5" t="s">
        <v>35</v>
      </c>
      <c r="H289" s="5" t="s">
        <v>76</v>
      </c>
      <c r="I289" s="2">
        <v>16</v>
      </c>
      <c r="J289" s="2" t="s">
        <v>24</v>
      </c>
      <c r="K289" s="2" t="s">
        <v>25</v>
      </c>
      <c r="L289" s="2" t="s">
        <v>19</v>
      </c>
      <c r="M289" s="4" t="str">
        <f t="shared" si="8"/>
        <v>Voluntary</v>
      </c>
      <c r="N289" s="23" t="s">
        <v>26</v>
      </c>
    </row>
    <row r="290" spans="1:14" x14ac:dyDescent="0.25">
      <c r="A290" s="22">
        <v>2473</v>
      </c>
      <c r="B290" s="3">
        <v>32967</v>
      </c>
      <c r="C290" s="3">
        <v>43957</v>
      </c>
      <c r="D290" s="2">
        <f t="shared" si="9"/>
        <v>30</v>
      </c>
      <c r="E290" s="4" t="str" cm="1">
        <f t="array" ref="E290">_xlfn.IFS(
D290&lt;=5,"Newcomer",
D290&lt;=10,"Proficient",
D290&gt;10,"Expert"
)</f>
        <v>Expert</v>
      </c>
      <c r="F290" s="2" t="s">
        <v>30</v>
      </c>
      <c r="G290" s="5" t="s">
        <v>35</v>
      </c>
      <c r="H290" s="5" t="s">
        <v>76</v>
      </c>
      <c r="I290" s="2">
        <v>37</v>
      </c>
      <c r="J290" s="2" t="s">
        <v>24</v>
      </c>
      <c r="K290" s="2" t="s">
        <v>25</v>
      </c>
      <c r="L290" s="2" t="s">
        <v>19</v>
      </c>
      <c r="M290" s="4" t="str">
        <f t="shared" si="8"/>
        <v>Voluntary</v>
      </c>
      <c r="N290" s="23" t="s">
        <v>26</v>
      </c>
    </row>
    <row r="291" spans="1:14" x14ac:dyDescent="0.25">
      <c r="A291" s="22">
        <v>2474</v>
      </c>
      <c r="B291" s="3">
        <v>38274</v>
      </c>
      <c r="C291" s="3">
        <v>43971</v>
      </c>
      <c r="D291" s="2">
        <f t="shared" si="9"/>
        <v>16</v>
      </c>
      <c r="E291" s="4" t="str" cm="1">
        <f t="array" ref="E291">_xlfn.IFS(
D291&lt;=5,"Newcomer",
D291&lt;=10,"Proficient",
D291&gt;10,"Expert"
)</f>
        <v>Expert</v>
      </c>
      <c r="F291" s="2" t="s">
        <v>74</v>
      </c>
      <c r="G291" s="5" t="s">
        <v>67</v>
      </c>
      <c r="H291" s="5" t="s">
        <v>113</v>
      </c>
      <c r="I291" s="2">
        <v>9</v>
      </c>
      <c r="J291" s="2" t="s">
        <v>17</v>
      </c>
      <c r="K291" s="2" t="s">
        <v>18</v>
      </c>
      <c r="L291" s="2" t="s">
        <v>96</v>
      </c>
      <c r="M291" s="4" t="str">
        <f t="shared" si="8"/>
        <v>Involuntary</v>
      </c>
      <c r="N291" s="23" t="s">
        <v>26</v>
      </c>
    </row>
    <row r="292" spans="1:14" x14ac:dyDescent="0.25">
      <c r="A292" s="22">
        <v>2478</v>
      </c>
      <c r="B292" s="3">
        <v>39811</v>
      </c>
      <c r="C292" s="3">
        <v>43987</v>
      </c>
      <c r="D292" s="2">
        <f t="shared" si="9"/>
        <v>12</v>
      </c>
      <c r="E292" s="4" t="str" cm="1">
        <f t="array" ref="E292">_xlfn.IFS(
D292&lt;=5,"Newcomer",
D292&lt;=10,"Proficient",
D292&gt;10,"Expert"
)</f>
        <v>Expert</v>
      </c>
      <c r="F292" s="2" t="s">
        <v>81</v>
      </c>
      <c r="G292" s="5" t="s">
        <v>35</v>
      </c>
      <c r="H292" s="5" t="s">
        <v>76</v>
      </c>
      <c r="I292" s="2">
        <v>5</v>
      </c>
      <c r="J292" s="2" t="s">
        <v>24</v>
      </c>
      <c r="K292" s="2" t="s">
        <v>25</v>
      </c>
      <c r="L292" s="2" t="s">
        <v>19</v>
      </c>
      <c r="M292" s="4" t="str">
        <f t="shared" si="8"/>
        <v>Voluntary</v>
      </c>
      <c r="N292" s="23" t="s">
        <v>26</v>
      </c>
    </row>
    <row r="293" spans="1:14" x14ac:dyDescent="0.25">
      <c r="A293" s="22">
        <v>2479</v>
      </c>
      <c r="B293" s="3">
        <v>34585</v>
      </c>
      <c r="C293" s="3">
        <v>43916</v>
      </c>
      <c r="D293" s="2">
        <f t="shared" si="9"/>
        <v>26</v>
      </c>
      <c r="E293" s="4" t="str" cm="1">
        <f t="array" ref="E293">_xlfn.IFS(
D293&lt;=5,"Newcomer",
D293&lt;=10,"Proficient",
D293&gt;10,"Expert"
)</f>
        <v>Expert</v>
      </c>
      <c r="F293" s="2" t="s">
        <v>102</v>
      </c>
      <c r="G293" s="5" t="s">
        <v>35</v>
      </c>
      <c r="H293" s="5" t="s">
        <v>76</v>
      </c>
      <c r="I293" s="2">
        <v>1</v>
      </c>
      <c r="J293" s="2" t="s">
        <v>24</v>
      </c>
      <c r="K293" s="2" t="s">
        <v>25</v>
      </c>
      <c r="L293" s="2" t="s">
        <v>19</v>
      </c>
      <c r="M293" s="4" t="str">
        <f t="shared" si="8"/>
        <v>Voluntary</v>
      </c>
      <c r="N293" s="23" t="s">
        <v>26</v>
      </c>
    </row>
    <row r="294" spans="1:14" x14ac:dyDescent="0.25">
      <c r="A294" s="22">
        <v>2484</v>
      </c>
      <c r="B294" s="3">
        <v>42007</v>
      </c>
      <c r="C294" s="3">
        <v>43848</v>
      </c>
      <c r="D294" s="2">
        <f t="shared" si="9"/>
        <v>5</v>
      </c>
      <c r="E294" s="4" t="str" cm="1">
        <f t="array" ref="E294">_xlfn.IFS(
D294&lt;=5,"Newcomer",
D294&lt;=10,"Proficient",
D294&gt;10,"Expert"
)</f>
        <v>Newcomer</v>
      </c>
      <c r="F294" s="2" t="s">
        <v>101</v>
      </c>
      <c r="G294" s="5" t="s">
        <v>62</v>
      </c>
      <c r="H294" s="5" t="s">
        <v>63</v>
      </c>
      <c r="I294" s="2">
        <v>38</v>
      </c>
      <c r="J294" s="2" t="s">
        <v>24</v>
      </c>
      <c r="K294" s="2" t="s">
        <v>25</v>
      </c>
      <c r="L294" s="2" t="s">
        <v>19</v>
      </c>
      <c r="M294" s="4" t="str">
        <f t="shared" si="8"/>
        <v>Voluntary</v>
      </c>
      <c r="N294" s="23" t="s">
        <v>26</v>
      </c>
    </row>
    <row r="295" spans="1:14" x14ac:dyDescent="0.25">
      <c r="A295" s="22">
        <v>2489</v>
      </c>
      <c r="B295" s="3">
        <v>32976</v>
      </c>
      <c r="C295" s="3">
        <v>43986</v>
      </c>
      <c r="D295" s="2">
        <f t="shared" si="9"/>
        <v>30</v>
      </c>
      <c r="E295" s="4" t="str" cm="1">
        <f t="array" ref="E295">_xlfn.IFS(
D295&lt;=5,"Newcomer",
D295&lt;=10,"Proficient",
D295&gt;10,"Expert"
)</f>
        <v>Expert</v>
      </c>
      <c r="F295" s="2" t="s">
        <v>53</v>
      </c>
      <c r="G295" s="5" t="s">
        <v>35</v>
      </c>
      <c r="H295" s="5" t="s">
        <v>76</v>
      </c>
      <c r="I295" s="2">
        <v>31</v>
      </c>
      <c r="J295" s="2" t="s">
        <v>24</v>
      </c>
      <c r="K295" s="2" t="s">
        <v>25</v>
      </c>
      <c r="L295" s="2" t="s">
        <v>19</v>
      </c>
      <c r="M295" s="4" t="str">
        <f t="shared" si="8"/>
        <v>Voluntary</v>
      </c>
      <c r="N295" s="23" t="s">
        <v>26</v>
      </c>
    </row>
    <row r="296" spans="1:14" x14ac:dyDescent="0.25">
      <c r="A296" s="22">
        <v>2494</v>
      </c>
      <c r="B296" s="3">
        <v>38874</v>
      </c>
      <c r="C296" s="3">
        <v>43902</v>
      </c>
      <c r="D296" s="2">
        <f t="shared" si="9"/>
        <v>14</v>
      </c>
      <c r="E296" s="4" t="str" cm="1">
        <f t="array" ref="E296">_xlfn.IFS(
D296&lt;=5,"Newcomer",
D296&lt;=10,"Proficient",
D296&gt;10,"Expert"
)</f>
        <v>Expert</v>
      </c>
      <c r="F296" s="2" t="s">
        <v>66</v>
      </c>
      <c r="G296" s="5" t="s">
        <v>42</v>
      </c>
      <c r="H296" s="5" t="s">
        <v>105</v>
      </c>
      <c r="I296" s="2">
        <v>36</v>
      </c>
      <c r="J296" s="2" t="s">
        <v>24</v>
      </c>
      <c r="K296" s="2" t="s">
        <v>25</v>
      </c>
      <c r="L296" s="2" t="s">
        <v>19</v>
      </c>
      <c r="M296" s="4" t="str">
        <f t="shared" si="8"/>
        <v>Voluntary</v>
      </c>
      <c r="N296" s="23" t="s">
        <v>26</v>
      </c>
    </row>
    <row r="297" spans="1:14" x14ac:dyDescent="0.25">
      <c r="A297" s="22">
        <v>2495</v>
      </c>
      <c r="B297" s="3">
        <v>41908</v>
      </c>
      <c r="C297" s="3">
        <v>44175</v>
      </c>
      <c r="D297" s="2">
        <f t="shared" si="9"/>
        <v>6</v>
      </c>
      <c r="E297" s="4" t="str" cm="1">
        <f t="array" ref="E297">_xlfn.IFS(
D297&lt;=5,"Newcomer",
D297&lt;=10,"Proficient",
D297&gt;10,"Expert"
)</f>
        <v>Proficient</v>
      </c>
      <c r="F297" s="2" t="s">
        <v>14</v>
      </c>
      <c r="G297" s="5" t="s">
        <v>62</v>
      </c>
      <c r="H297" s="5" t="s">
        <v>63</v>
      </c>
      <c r="I297" s="2">
        <v>35</v>
      </c>
      <c r="J297" s="2" t="s">
        <v>24</v>
      </c>
      <c r="K297" s="2" t="s">
        <v>25</v>
      </c>
      <c r="L297" s="2" t="s">
        <v>19</v>
      </c>
      <c r="M297" s="4" t="str">
        <f t="shared" si="8"/>
        <v>Voluntary</v>
      </c>
      <c r="N297" s="23" t="s">
        <v>26</v>
      </c>
    </row>
    <row r="298" spans="1:14" x14ac:dyDescent="0.25">
      <c r="A298" s="22">
        <v>2496</v>
      </c>
      <c r="B298" s="3">
        <v>38221</v>
      </c>
      <c r="C298" s="3">
        <v>44035</v>
      </c>
      <c r="D298" s="2">
        <f t="shared" si="9"/>
        <v>16</v>
      </c>
      <c r="E298" s="4" t="str" cm="1">
        <f t="array" ref="E298">_xlfn.IFS(
D298&lt;=5,"Newcomer",
D298&lt;=10,"Proficient",
D298&gt;10,"Expert"
)</f>
        <v>Expert</v>
      </c>
      <c r="F298" s="2" t="s">
        <v>21</v>
      </c>
      <c r="G298" s="5" t="s">
        <v>35</v>
      </c>
      <c r="H298" s="5" t="s">
        <v>76</v>
      </c>
      <c r="I298" s="2">
        <v>19</v>
      </c>
      <c r="J298" s="2" t="s">
        <v>24</v>
      </c>
      <c r="K298" s="2" t="s">
        <v>25</v>
      </c>
      <c r="L298" s="2" t="s">
        <v>19</v>
      </c>
      <c r="M298" s="4" t="str">
        <f t="shared" si="8"/>
        <v>Voluntary</v>
      </c>
      <c r="N298" s="23" t="s">
        <v>26</v>
      </c>
    </row>
    <row r="299" spans="1:14" x14ac:dyDescent="0.25">
      <c r="A299" s="22">
        <v>2499</v>
      </c>
      <c r="B299" s="3">
        <v>41475</v>
      </c>
      <c r="C299" s="3">
        <v>44170</v>
      </c>
      <c r="D299" s="2">
        <f t="shared" si="9"/>
        <v>7</v>
      </c>
      <c r="E299" s="4" t="str" cm="1">
        <f t="array" ref="E299">_xlfn.IFS(
D299&lt;=5,"Newcomer",
D299&lt;=10,"Proficient",
D299&gt;10,"Expert"
)</f>
        <v>Proficient</v>
      </c>
      <c r="F299" s="2" t="s">
        <v>14</v>
      </c>
      <c r="G299" s="5" t="s">
        <v>62</v>
      </c>
      <c r="H299" s="5" t="s">
        <v>63</v>
      </c>
      <c r="I299" s="2">
        <v>35</v>
      </c>
      <c r="J299" s="2" t="s">
        <v>24</v>
      </c>
      <c r="K299" s="2" t="s">
        <v>25</v>
      </c>
      <c r="L299" s="2" t="s">
        <v>19</v>
      </c>
      <c r="M299" s="4" t="str">
        <f t="shared" si="8"/>
        <v>Voluntary</v>
      </c>
      <c r="N299" s="23" t="s">
        <v>26</v>
      </c>
    </row>
    <row r="300" spans="1:14" x14ac:dyDescent="0.25">
      <c r="A300" s="22">
        <v>2508</v>
      </c>
      <c r="B300" s="3">
        <v>37798</v>
      </c>
      <c r="C300" s="3">
        <v>44052</v>
      </c>
      <c r="D300" s="2">
        <f t="shared" si="9"/>
        <v>17</v>
      </c>
      <c r="E300" s="4" t="str" cm="1">
        <f t="array" ref="E300">_xlfn.IFS(
D300&lt;=5,"Newcomer",
D300&lt;=10,"Proficient",
D300&gt;10,"Expert"
)</f>
        <v>Expert</v>
      </c>
      <c r="F300" s="2" t="s">
        <v>30</v>
      </c>
      <c r="G300" s="5" t="s">
        <v>35</v>
      </c>
      <c r="H300" s="5" t="s">
        <v>76</v>
      </c>
      <c r="I300" s="2">
        <v>37</v>
      </c>
      <c r="J300" s="2" t="s">
        <v>24</v>
      </c>
      <c r="K300" s="2" t="s">
        <v>25</v>
      </c>
      <c r="L300" s="2" t="s">
        <v>19</v>
      </c>
      <c r="M300" s="4" t="str">
        <f t="shared" si="8"/>
        <v>Voluntary</v>
      </c>
      <c r="N300" s="23" t="s">
        <v>26</v>
      </c>
    </row>
    <row r="301" spans="1:14" x14ac:dyDescent="0.25">
      <c r="A301" s="22">
        <v>2510</v>
      </c>
      <c r="B301" s="3">
        <v>33128</v>
      </c>
      <c r="C301" s="3">
        <v>43908</v>
      </c>
      <c r="D301" s="2">
        <f t="shared" si="9"/>
        <v>30</v>
      </c>
      <c r="E301" s="4" t="str" cm="1">
        <f t="array" ref="E301">_xlfn.IFS(
D301&lt;=5,"Newcomer",
D301&lt;=10,"Proficient",
D301&gt;10,"Expert"
)</f>
        <v>Expert</v>
      </c>
      <c r="F301" s="2" t="s">
        <v>90</v>
      </c>
      <c r="G301" s="5" t="s">
        <v>35</v>
      </c>
      <c r="H301" s="5" t="s">
        <v>76</v>
      </c>
      <c r="I301" s="2">
        <v>26</v>
      </c>
      <c r="J301" s="2" t="s">
        <v>24</v>
      </c>
      <c r="K301" s="2" t="s">
        <v>25</v>
      </c>
      <c r="L301" s="2" t="s">
        <v>19</v>
      </c>
      <c r="M301" s="4" t="str">
        <f t="shared" si="8"/>
        <v>Voluntary</v>
      </c>
      <c r="N301" s="23" t="s">
        <v>26</v>
      </c>
    </row>
    <row r="302" spans="1:14" x14ac:dyDescent="0.25">
      <c r="A302" s="22">
        <v>2517</v>
      </c>
      <c r="B302" s="3">
        <v>36917</v>
      </c>
      <c r="C302" s="3">
        <v>43840</v>
      </c>
      <c r="D302" s="2">
        <f t="shared" si="9"/>
        <v>19</v>
      </c>
      <c r="E302" s="4" t="str" cm="1">
        <f t="array" ref="E302">_xlfn.IFS(
D302&lt;=5,"Newcomer",
D302&lt;=10,"Proficient",
D302&gt;10,"Expert"
)</f>
        <v>Expert</v>
      </c>
      <c r="F302" s="2" t="s">
        <v>77</v>
      </c>
      <c r="G302" s="5" t="s">
        <v>35</v>
      </c>
      <c r="H302" s="5" t="s">
        <v>76</v>
      </c>
      <c r="I302" s="2">
        <v>30</v>
      </c>
      <c r="J302" s="2" t="s">
        <v>24</v>
      </c>
      <c r="K302" s="2" t="s">
        <v>25</v>
      </c>
      <c r="L302" s="2" t="s">
        <v>19</v>
      </c>
      <c r="M302" s="4" t="str">
        <f t="shared" si="8"/>
        <v>Voluntary</v>
      </c>
      <c r="N302" s="23" t="s">
        <v>26</v>
      </c>
    </row>
    <row r="303" spans="1:14" x14ac:dyDescent="0.25">
      <c r="A303" s="22">
        <v>2520</v>
      </c>
      <c r="B303" s="3">
        <v>38823</v>
      </c>
      <c r="C303" s="3">
        <v>44109</v>
      </c>
      <c r="D303" s="2">
        <f t="shared" si="9"/>
        <v>14</v>
      </c>
      <c r="E303" s="4" t="str" cm="1">
        <f t="array" ref="E303">_xlfn.IFS(
D303&lt;=5,"Newcomer",
D303&lt;=10,"Proficient",
D303&gt;10,"Expert"
)</f>
        <v>Expert</v>
      </c>
      <c r="F303" s="2" t="s">
        <v>14</v>
      </c>
      <c r="G303" s="5" t="s">
        <v>62</v>
      </c>
      <c r="H303" s="5" t="s">
        <v>63</v>
      </c>
      <c r="I303" s="2">
        <v>35</v>
      </c>
      <c r="J303" s="2" t="s">
        <v>24</v>
      </c>
      <c r="K303" s="2" t="s">
        <v>25</v>
      </c>
      <c r="L303" s="2" t="s">
        <v>19</v>
      </c>
      <c r="M303" s="4" t="str">
        <f t="shared" si="8"/>
        <v>Voluntary</v>
      </c>
      <c r="N303" s="23" t="s">
        <v>26</v>
      </c>
    </row>
    <row r="304" spans="1:14" x14ac:dyDescent="0.25">
      <c r="A304" s="22">
        <v>2522</v>
      </c>
      <c r="B304" s="3">
        <v>39429</v>
      </c>
      <c r="C304" s="3">
        <v>44131</v>
      </c>
      <c r="D304" s="2">
        <f t="shared" si="9"/>
        <v>13</v>
      </c>
      <c r="E304" s="4" t="str" cm="1">
        <f t="array" ref="E304">_xlfn.IFS(
D304&lt;=5,"Newcomer",
D304&lt;=10,"Proficient",
D304&gt;10,"Expert"
)</f>
        <v>Expert</v>
      </c>
      <c r="F304" s="2" t="s">
        <v>44</v>
      </c>
      <c r="G304" s="5" t="s">
        <v>35</v>
      </c>
      <c r="H304" s="5" t="s">
        <v>76</v>
      </c>
      <c r="I304" s="2">
        <v>18</v>
      </c>
      <c r="J304" s="2" t="s">
        <v>24</v>
      </c>
      <c r="K304" s="2" t="s">
        <v>25</v>
      </c>
      <c r="L304" s="2" t="s">
        <v>19</v>
      </c>
      <c r="M304" s="4" t="str">
        <f t="shared" si="8"/>
        <v>Voluntary</v>
      </c>
      <c r="N304" s="23" t="s">
        <v>26</v>
      </c>
    </row>
    <row r="305" spans="1:14" x14ac:dyDescent="0.25">
      <c r="A305" s="22">
        <v>2524</v>
      </c>
      <c r="B305" s="3">
        <v>38821</v>
      </c>
      <c r="C305" s="3">
        <v>43922</v>
      </c>
      <c r="D305" s="2">
        <f t="shared" si="9"/>
        <v>14</v>
      </c>
      <c r="E305" s="4" t="str" cm="1">
        <f t="array" ref="E305">_xlfn.IFS(
D305&lt;=5,"Newcomer",
D305&lt;=10,"Proficient",
D305&gt;10,"Expert"
)</f>
        <v>Expert</v>
      </c>
      <c r="F305" s="2" t="s">
        <v>114</v>
      </c>
      <c r="G305" s="5" t="s">
        <v>22</v>
      </c>
      <c r="H305" s="5" t="s">
        <v>23</v>
      </c>
      <c r="I305" s="2">
        <v>27</v>
      </c>
      <c r="J305" s="2" t="s">
        <v>24</v>
      </c>
      <c r="K305" s="2" t="s">
        <v>25</v>
      </c>
      <c r="L305" s="2" t="s">
        <v>96</v>
      </c>
      <c r="M305" s="4" t="str">
        <f t="shared" si="8"/>
        <v>Involuntary</v>
      </c>
      <c r="N305" s="23" t="s">
        <v>26</v>
      </c>
    </row>
    <row r="306" spans="1:14" x14ac:dyDescent="0.25">
      <c r="A306" s="22">
        <v>2540</v>
      </c>
      <c r="B306" s="3">
        <v>36131</v>
      </c>
      <c r="C306" s="3">
        <v>44183</v>
      </c>
      <c r="D306" s="2">
        <f t="shared" si="9"/>
        <v>22</v>
      </c>
      <c r="E306" s="4" t="str" cm="1">
        <f t="array" ref="E306">_xlfn.IFS(
D306&lt;=5,"Newcomer",
D306&lt;=10,"Proficient",
D306&gt;10,"Expert"
)</f>
        <v>Expert</v>
      </c>
      <c r="F306" s="2" t="s">
        <v>101</v>
      </c>
      <c r="G306" s="5" t="s">
        <v>62</v>
      </c>
      <c r="H306" s="5" t="s">
        <v>63</v>
      </c>
      <c r="I306" s="2">
        <v>38</v>
      </c>
      <c r="J306" s="2" t="s">
        <v>24</v>
      </c>
      <c r="K306" s="2" t="s">
        <v>25</v>
      </c>
      <c r="L306" s="2" t="s">
        <v>19</v>
      </c>
      <c r="M306" s="4" t="str">
        <f t="shared" si="8"/>
        <v>Voluntary</v>
      </c>
      <c r="N306" s="23" t="s">
        <v>26</v>
      </c>
    </row>
    <row r="307" spans="1:14" x14ac:dyDescent="0.25">
      <c r="A307" s="22">
        <v>2542</v>
      </c>
      <c r="B307" s="3">
        <v>37362</v>
      </c>
      <c r="C307" s="3">
        <v>44062</v>
      </c>
      <c r="D307" s="2">
        <f t="shared" si="9"/>
        <v>18</v>
      </c>
      <c r="E307" s="4" t="str" cm="1">
        <f t="array" ref="E307">_xlfn.IFS(
D307&lt;=5,"Newcomer",
D307&lt;=10,"Proficient",
D307&gt;10,"Expert"
)</f>
        <v>Expert</v>
      </c>
      <c r="F307" s="2" t="s">
        <v>30</v>
      </c>
      <c r="G307" s="5" t="s">
        <v>35</v>
      </c>
      <c r="H307" s="5" t="s">
        <v>76</v>
      </c>
      <c r="I307" s="2">
        <v>46</v>
      </c>
      <c r="J307" s="2" t="s">
        <v>17</v>
      </c>
      <c r="K307" s="2" t="s">
        <v>18</v>
      </c>
      <c r="L307" s="2" t="s">
        <v>50</v>
      </c>
      <c r="M307" s="4" t="str">
        <f t="shared" si="8"/>
        <v>Voluntary</v>
      </c>
      <c r="N307" s="23" t="s">
        <v>26</v>
      </c>
    </row>
    <row r="308" spans="1:14" x14ac:dyDescent="0.25">
      <c r="A308" s="22">
        <v>2545</v>
      </c>
      <c r="B308" s="3">
        <v>40318</v>
      </c>
      <c r="C308" s="3">
        <v>43947</v>
      </c>
      <c r="D308" s="2">
        <f t="shared" si="9"/>
        <v>10</v>
      </c>
      <c r="E308" s="4" t="str" cm="1">
        <f t="array" ref="E308">_xlfn.IFS(
D308&lt;=5,"Newcomer",
D308&lt;=10,"Proficient",
D308&gt;10,"Expert"
)</f>
        <v>Proficient</v>
      </c>
      <c r="F308" s="2" t="s">
        <v>14</v>
      </c>
      <c r="G308" s="5" t="s">
        <v>62</v>
      </c>
      <c r="H308" s="5" t="s">
        <v>63</v>
      </c>
      <c r="I308" s="2">
        <v>35</v>
      </c>
      <c r="J308" s="2" t="s">
        <v>24</v>
      </c>
      <c r="K308" s="2" t="s">
        <v>25</v>
      </c>
      <c r="L308" s="2" t="s">
        <v>19</v>
      </c>
      <c r="M308" s="4" t="str">
        <f t="shared" si="8"/>
        <v>Voluntary</v>
      </c>
      <c r="N308" s="23" t="s">
        <v>26</v>
      </c>
    </row>
    <row r="309" spans="1:14" x14ac:dyDescent="0.25">
      <c r="A309" s="22">
        <v>2552</v>
      </c>
      <c r="B309" s="3">
        <v>38467</v>
      </c>
      <c r="C309" s="3">
        <v>44074</v>
      </c>
      <c r="D309" s="2">
        <f t="shared" si="9"/>
        <v>15</v>
      </c>
      <c r="E309" s="4" t="str" cm="1">
        <f t="array" ref="E309">_xlfn.IFS(
D309&lt;=5,"Newcomer",
D309&lt;=10,"Proficient",
D309&gt;10,"Expert"
)</f>
        <v>Expert</v>
      </c>
      <c r="F309" s="2" t="s">
        <v>107</v>
      </c>
      <c r="G309" s="5" t="s">
        <v>42</v>
      </c>
      <c r="H309" s="5" t="s">
        <v>43</v>
      </c>
      <c r="I309" s="2">
        <v>11</v>
      </c>
      <c r="J309" s="2" t="s">
        <v>17</v>
      </c>
      <c r="K309" s="2" t="s">
        <v>18</v>
      </c>
      <c r="L309" s="2" t="s">
        <v>96</v>
      </c>
      <c r="M309" s="4" t="str">
        <f t="shared" si="8"/>
        <v>Involuntary</v>
      </c>
      <c r="N309" s="23" t="s">
        <v>26</v>
      </c>
    </row>
    <row r="310" spans="1:14" x14ac:dyDescent="0.25">
      <c r="A310" s="22">
        <v>2558</v>
      </c>
      <c r="B310" s="3">
        <v>36167</v>
      </c>
      <c r="C310" s="3">
        <v>44015</v>
      </c>
      <c r="D310" s="2">
        <f t="shared" si="9"/>
        <v>21</v>
      </c>
      <c r="E310" s="4" t="str" cm="1">
        <f t="array" ref="E310">_xlfn.IFS(
D310&lt;=5,"Newcomer",
D310&lt;=10,"Proficient",
D310&gt;10,"Expert"
)</f>
        <v>Expert</v>
      </c>
      <c r="F310" s="2" t="s">
        <v>53</v>
      </c>
      <c r="G310" s="5" t="s">
        <v>35</v>
      </c>
      <c r="H310" s="5" t="s">
        <v>76</v>
      </c>
      <c r="I310" s="2">
        <v>31</v>
      </c>
      <c r="J310" s="2" t="s">
        <v>24</v>
      </c>
      <c r="K310" s="2" t="s">
        <v>25</v>
      </c>
      <c r="L310" s="2" t="s">
        <v>19</v>
      </c>
      <c r="M310" s="4" t="str">
        <f t="shared" si="8"/>
        <v>Voluntary</v>
      </c>
      <c r="N310" s="23" t="s">
        <v>26</v>
      </c>
    </row>
    <row r="311" spans="1:14" x14ac:dyDescent="0.25">
      <c r="A311" s="22">
        <v>2567</v>
      </c>
      <c r="B311" s="3">
        <v>38509</v>
      </c>
      <c r="C311" s="3">
        <v>43999</v>
      </c>
      <c r="D311" s="2">
        <f t="shared" si="9"/>
        <v>15</v>
      </c>
      <c r="E311" s="4" t="str" cm="1">
        <f t="array" ref="E311">_xlfn.IFS(
D311&lt;=5,"Newcomer",
D311&lt;=10,"Proficient",
D311&gt;10,"Expert"
)</f>
        <v>Expert</v>
      </c>
      <c r="F311" s="2" t="s">
        <v>44</v>
      </c>
      <c r="G311" s="5" t="s">
        <v>35</v>
      </c>
      <c r="H311" s="5" t="s">
        <v>76</v>
      </c>
      <c r="I311" s="2">
        <v>18</v>
      </c>
      <c r="J311" s="2" t="s">
        <v>24</v>
      </c>
      <c r="K311" s="2" t="s">
        <v>25</v>
      </c>
      <c r="L311" s="2" t="s">
        <v>19</v>
      </c>
      <c r="M311" s="4" t="str">
        <f t="shared" si="8"/>
        <v>Voluntary</v>
      </c>
      <c r="N311" s="23" t="s">
        <v>26</v>
      </c>
    </row>
    <row r="312" spans="1:14" x14ac:dyDescent="0.25">
      <c r="A312" s="22">
        <v>2568</v>
      </c>
      <c r="B312" s="3">
        <v>33290</v>
      </c>
      <c r="C312" s="3">
        <v>44113</v>
      </c>
      <c r="D312" s="2">
        <f t="shared" si="9"/>
        <v>29</v>
      </c>
      <c r="E312" s="4" t="str" cm="1">
        <f t="array" ref="E312">_xlfn.IFS(
D312&lt;=5,"Newcomer",
D312&lt;=10,"Proficient",
D312&gt;10,"Expert"
)</f>
        <v>Expert</v>
      </c>
      <c r="F312" s="2" t="s">
        <v>44</v>
      </c>
      <c r="G312" s="5" t="s">
        <v>35</v>
      </c>
      <c r="H312" s="5" t="s">
        <v>76</v>
      </c>
      <c r="I312" s="2">
        <v>18</v>
      </c>
      <c r="J312" s="2" t="s">
        <v>24</v>
      </c>
      <c r="K312" s="2" t="s">
        <v>25</v>
      </c>
      <c r="L312" s="2" t="s">
        <v>19</v>
      </c>
      <c r="M312" s="4" t="str">
        <f t="shared" si="8"/>
        <v>Voluntary</v>
      </c>
      <c r="N312" s="23" t="s">
        <v>26</v>
      </c>
    </row>
    <row r="313" spans="1:14" x14ac:dyDescent="0.25">
      <c r="A313" s="22">
        <v>2575</v>
      </c>
      <c r="B313" s="3">
        <v>35443</v>
      </c>
      <c r="C313" s="3">
        <v>44150</v>
      </c>
      <c r="D313" s="2">
        <f t="shared" si="9"/>
        <v>23</v>
      </c>
      <c r="E313" s="4" t="str" cm="1">
        <f t="array" ref="E313">_xlfn.IFS(
D313&lt;=5,"Newcomer",
D313&lt;=10,"Proficient",
D313&gt;10,"Expert"
)</f>
        <v>Expert</v>
      </c>
      <c r="F313" s="2" t="s">
        <v>27</v>
      </c>
      <c r="G313" s="5" t="s">
        <v>35</v>
      </c>
      <c r="H313" s="5" t="s">
        <v>76</v>
      </c>
      <c r="I313" s="2">
        <v>16</v>
      </c>
      <c r="J313" s="2" t="s">
        <v>24</v>
      </c>
      <c r="K313" s="2" t="s">
        <v>25</v>
      </c>
      <c r="L313" s="2" t="s">
        <v>19</v>
      </c>
      <c r="M313" s="4" t="str">
        <f t="shared" si="8"/>
        <v>Voluntary</v>
      </c>
      <c r="N313" s="23" t="s">
        <v>26</v>
      </c>
    </row>
    <row r="314" spans="1:14" x14ac:dyDescent="0.25">
      <c r="A314" s="22">
        <v>2578</v>
      </c>
      <c r="B314" s="3">
        <v>40497</v>
      </c>
      <c r="C314" s="3">
        <v>43970</v>
      </c>
      <c r="D314" s="2">
        <f t="shared" si="9"/>
        <v>10</v>
      </c>
      <c r="E314" s="4" t="str" cm="1">
        <f t="array" ref="E314">_xlfn.IFS(
D314&lt;=5,"Newcomer",
D314&lt;=10,"Proficient",
D314&gt;10,"Expert"
)</f>
        <v>Proficient</v>
      </c>
      <c r="F314" s="2" t="s">
        <v>30</v>
      </c>
      <c r="G314" s="5" t="s">
        <v>35</v>
      </c>
      <c r="H314" s="5" t="s">
        <v>76</v>
      </c>
      <c r="I314" s="2">
        <v>37</v>
      </c>
      <c r="J314" s="2" t="s">
        <v>24</v>
      </c>
      <c r="K314" s="2" t="s">
        <v>25</v>
      </c>
      <c r="L314" s="2" t="s">
        <v>19</v>
      </c>
      <c r="M314" s="4" t="str">
        <f t="shared" si="8"/>
        <v>Voluntary</v>
      </c>
      <c r="N314" s="23" t="s">
        <v>26</v>
      </c>
    </row>
    <row r="315" spans="1:14" x14ac:dyDescent="0.25">
      <c r="A315" s="22">
        <v>2579</v>
      </c>
      <c r="B315" s="3">
        <v>34487</v>
      </c>
      <c r="C315" s="3">
        <v>43952</v>
      </c>
      <c r="D315" s="2">
        <f t="shared" si="9"/>
        <v>26</v>
      </c>
      <c r="E315" s="4" t="str" cm="1">
        <f t="array" ref="E315">_xlfn.IFS(
D315&lt;=5,"Newcomer",
D315&lt;=10,"Proficient",
D315&gt;10,"Expert"
)</f>
        <v>Expert</v>
      </c>
      <c r="F315" s="2" t="s">
        <v>91</v>
      </c>
      <c r="G315" s="5" t="s">
        <v>62</v>
      </c>
      <c r="H315" s="5" t="s">
        <v>63</v>
      </c>
      <c r="I315" s="2">
        <v>29</v>
      </c>
      <c r="J315" s="2" t="s">
        <v>24</v>
      </c>
      <c r="K315" s="2" t="s">
        <v>25</v>
      </c>
      <c r="L315" s="2" t="s">
        <v>19</v>
      </c>
      <c r="M315" s="4" t="str">
        <f t="shared" si="8"/>
        <v>Voluntary</v>
      </c>
      <c r="N315" s="23" t="s">
        <v>26</v>
      </c>
    </row>
    <row r="316" spans="1:14" x14ac:dyDescent="0.25">
      <c r="A316" s="22">
        <v>2588</v>
      </c>
      <c r="B316" s="3">
        <v>38909</v>
      </c>
      <c r="C316" s="3">
        <v>43896</v>
      </c>
      <c r="D316" s="2">
        <f t="shared" si="9"/>
        <v>14</v>
      </c>
      <c r="E316" s="4" t="str" cm="1">
        <f t="array" ref="E316">_xlfn.IFS(
D316&lt;=5,"Newcomer",
D316&lt;=10,"Proficient",
D316&gt;10,"Expert"
)</f>
        <v>Expert</v>
      </c>
      <c r="F316" s="2" t="s">
        <v>14</v>
      </c>
      <c r="G316" s="5" t="s">
        <v>62</v>
      </c>
      <c r="H316" s="5" t="s">
        <v>63</v>
      </c>
      <c r="I316" s="2">
        <v>35</v>
      </c>
      <c r="J316" s="2" t="s">
        <v>24</v>
      </c>
      <c r="K316" s="2" t="s">
        <v>25</v>
      </c>
      <c r="L316" s="2" t="s">
        <v>19</v>
      </c>
      <c r="M316" s="4" t="str">
        <f t="shared" si="8"/>
        <v>Voluntary</v>
      </c>
      <c r="N316" s="23" t="s">
        <v>26</v>
      </c>
    </row>
    <row r="317" spans="1:14" x14ac:dyDescent="0.25">
      <c r="A317" s="22">
        <v>2591</v>
      </c>
      <c r="B317" s="3">
        <v>37426</v>
      </c>
      <c r="C317" s="3">
        <v>43968</v>
      </c>
      <c r="D317" s="2">
        <f t="shared" si="9"/>
        <v>18</v>
      </c>
      <c r="E317" s="4" t="str" cm="1">
        <f t="array" ref="E317">_xlfn.IFS(
D317&lt;=5,"Newcomer",
D317&lt;=10,"Proficient",
D317&gt;10,"Expert"
)</f>
        <v>Expert</v>
      </c>
      <c r="F317" s="2" t="s">
        <v>14</v>
      </c>
      <c r="G317" s="5" t="s">
        <v>62</v>
      </c>
      <c r="H317" s="5" t="s">
        <v>63</v>
      </c>
      <c r="I317" s="2">
        <v>35</v>
      </c>
      <c r="J317" s="2" t="s">
        <v>24</v>
      </c>
      <c r="K317" s="2" t="s">
        <v>25</v>
      </c>
      <c r="L317" s="2" t="s">
        <v>19</v>
      </c>
      <c r="M317" s="4" t="str">
        <f t="shared" si="8"/>
        <v>Voluntary</v>
      </c>
      <c r="N317" s="23" t="s">
        <v>26</v>
      </c>
    </row>
    <row r="318" spans="1:14" x14ac:dyDescent="0.25">
      <c r="A318" s="22">
        <v>2595</v>
      </c>
      <c r="B318" s="3">
        <v>34654</v>
      </c>
      <c r="C318" s="3">
        <v>44013</v>
      </c>
      <c r="D318" s="2">
        <f t="shared" si="9"/>
        <v>26</v>
      </c>
      <c r="E318" s="4" t="str" cm="1">
        <f t="array" ref="E318">_xlfn.IFS(
D318&lt;=5,"Newcomer",
D318&lt;=10,"Proficient",
D318&gt;10,"Expert"
)</f>
        <v>Expert</v>
      </c>
      <c r="F318" s="2" t="s">
        <v>78</v>
      </c>
      <c r="G318" s="5" t="s">
        <v>35</v>
      </c>
      <c r="H318" s="5" t="s">
        <v>76</v>
      </c>
      <c r="I318" s="2">
        <v>21</v>
      </c>
      <c r="J318" s="2" t="s">
        <v>17</v>
      </c>
      <c r="K318" s="2" t="s">
        <v>18</v>
      </c>
      <c r="L318" s="2" t="s">
        <v>50</v>
      </c>
      <c r="M318" s="4" t="str">
        <f t="shared" si="8"/>
        <v>Voluntary</v>
      </c>
      <c r="N318" s="23" t="s">
        <v>26</v>
      </c>
    </row>
    <row r="319" spans="1:14" x14ac:dyDescent="0.25">
      <c r="A319" s="22">
        <v>2597</v>
      </c>
      <c r="B319" s="3">
        <v>36611</v>
      </c>
      <c r="C319" s="3">
        <v>44064</v>
      </c>
      <c r="D319" s="2">
        <f t="shared" si="9"/>
        <v>20</v>
      </c>
      <c r="E319" s="4" t="str" cm="1">
        <f t="array" ref="E319">_xlfn.IFS(
D319&lt;=5,"Newcomer",
D319&lt;=10,"Proficient",
D319&gt;10,"Expert"
)</f>
        <v>Expert</v>
      </c>
      <c r="F319" s="2" t="s">
        <v>78</v>
      </c>
      <c r="G319" s="5" t="s">
        <v>35</v>
      </c>
      <c r="H319" s="5" t="s">
        <v>76</v>
      </c>
      <c r="I319" s="2">
        <v>21</v>
      </c>
      <c r="J319" s="2" t="s">
        <v>24</v>
      </c>
      <c r="K319" s="2" t="s">
        <v>25</v>
      </c>
      <c r="L319" s="2" t="s">
        <v>19</v>
      </c>
      <c r="M319" s="4" t="str">
        <f t="shared" si="8"/>
        <v>Voluntary</v>
      </c>
      <c r="N319" s="23" t="s">
        <v>26</v>
      </c>
    </row>
    <row r="320" spans="1:14" x14ac:dyDescent="0.25">
      <c r="A320" s="22">
        <v>2598</v>
      </c>
      <c r="B320" s="3">
        <v>40578</v>
      </c>
      <c r="C320" s="3">
        <v>44034</v>
      </c>
      <c r="D320" s="2">
        <f t="shared" si="9"/>
        <v>9</v>
      </c>
      <c r="E320" s="4" t="str" cm="1">
        <f t="array" ref="E320">_xlfn.IFS(
D320&lt;=5,"Newcomer",
D320&lt;=10,"Proficient",
D320&gt;10,"Expert"
)</f>
        <v>Proficient</v>
      </c>
      <c r="F320" s="2" t="s">
        <v>102</v>
      </c>
      <c r="G320" s="5" t="s">
        <v>42</v>
      </c>
      <c r="H320" s="5" t="s">
        <v>105</v>
      </c>
      <c r="I320" s="2">
        <v>1</v>
      </c>
      <c r="J320" s="2" t="s">
        <v>24</v>
      </c>
      <c r="K320" s="2" t="s">
        <v>25</v>
      </c>
      <c r="L320" s="2" t="s">
        <v>19</v>
      </c>
      <c r="M320" s="4" t="str">
        <f t="shared" si="8"/>
        <v>Voluntary</v>
      </c>
      <c r="N320" s="23" t="s">
        <v>26</v>
      </c>
    </row>
    <row r="321" spans="1:14" x14ac:dyDescent="0.25">
      <c r="A321" s="22">
        <v>2599</v>
      </c>
      <c r="B321" s="3">
        <v>39307</v>
      </c>
      <c r="C321" s="3">
        <v>43851</v>
      </c>
      <c r="D321" s="2">
        <f t="shared" si="9"/>
        <v>13</v>
      </c>
      <c r="E321" s="4" t="str" cm="1">
        <f t="array" ref="E321">_xlfn.IFS(
D321&lt;=5,"Newcomer",
D321&lt;=10,"Proficient",
D321&gt;10,"Expert"
)</f>
        <v>Expert</v>
      </c>
      <c r="F321" s="2" t="s">
        <v>107</v>
      </c>
      <c r="G321" s="5" t="s">
        <v>35</v>
      </c>
      <c r="H321" s="5" t="s">
        <v>76</v>
      </c>
      <c r="I321" s="2">
        <v>11</v>
      </c>
      <c r="J321" s="2" t="s">
        <v>24</v>
      </c>
      <c r="K321" s="2" t="s">
        <v>25</v>
      </c>
      <c r="L321" s="2" t="s">
        <v>19</v>
      </c>
      <c r="M321" s="4" t="str">
        <f t="shared" si="8"/>
        <v>Voluntary</v>
      </c>
      <c r="N321" s="23" t="s">
        <v>26</v>
      </c>
    </row>
    <row r="322" spans="1:14" x14ac:dyDescent="0.25">
      <c r="A322" s="22">
        <v>2608</v>
      </c>
      <c r="B322" s="3">
        <v>40775</v>
      </c>
      <c r="C322" s="3">
        <v>43889</v>
      </c>
      <c r="D322" s="2">
        <f t="shared" si="9"/>
        <v>9</v>
      </c>
      <c r="E322" s="4" t="str" cm="1">
        <f t="array" ref="E322">_xlfn.IFS(
D322&lt;=5,"Newcomer",
D322&lt;=10,"Proficient",
D322&gt;10,"Expert"
)</f>
        <v>Proficient</v>
      </c>
      <c r="F322" s="2" t="s">
        <v>14</v>
      </c>
      <c r="G322" s="5" t="s">
        <v>62</v>
      </c>
      <c r="H322" s="5" t="s">
        <v>63</v>
      </c>
      <c r="I322" s="2">
        <v>35</v>
      </c>
      <c r="J322" s="2" t="s">
        <v>24</v>
      </c>
      <c r="K322" s="2" t="s">
        <v>25</v>
      </c>
      <c r="L322" s="2" t="s">
        <v>19</v>
      </c>
      <c r="M322" s="4" t="str">
        <f t="shared" ref="M322:M385" si="10">IF(OR(L322="Retirement",L322="Resignation"),"Voluntary","Involuntary")</f>
        <v>Voluntary</v>
      </c>
      <c r="N322" s="23" t="s">
        <v>26</v>
      </c>
    </row>
    <row r="323" spans="1:14" x14ac:dyDescent="0.25">
      <c r="A323" s="22">
        <v>2609</v>
      </c>
      <c r="B323" s="3">
        <v>38977</v>
      </c>
      <c r="C323" s="3">
        <v>43994</v>
      </c>
      <c r="D323" s="2">
        <f t="shared" ref="D323:D386" si="11">YEAR(C323)-YEAR(B323)</f>
        <v>14</v>
      </c>
      <c r="E323" s="4" t="str" cm="1">
        <f t="array" ref="E323">_xlfn.IFS(
D323&lt;=5,"Newcomer",
D323&lt;=10,"Proficient",
D323&gt;10,"Expert"
)</f>
        <v>Expert</v>
      </c>
      <c r="F323" s="2" t="s">
        <v>74</v>
      </c>
      <c r="G323" s="5" t="s">
        <v>67</v>
      </c>
      <c r="H323" s="5" t="s">
        <v>113</v>
      </c>
      <c r="I323" s="2">
        <v>9</v>
      </c>
      <c r="J323" s="2" t="s">
        <v>17</v>
      </c>
      <c r="K323" s="2" t="s">
        <v>18</v>
      </c>
      <c r="L323" s="2" t="s">
        <v>96</v>
      </c>
      <c r="M323" s="4" t="str">
        <f t="shared" si="10"/>
        <v>Involuntary</v>
      </c>
      <c r="N323" s="23" t="s">
        <v>26</v>
      </c>
    </row>
    <row r="324" spans="1:14" x14ac:dyDescent="0.25">
      <c r="A324" s="22">
        <v>2640</v>
      </c>
      <c r="B324" s="3">
        <v>35577</v>
      </c>
      <c r="C324" s="3">
        <v>43875</v>
      </c>
      <c r="D324" s="2">
        <f t="shared" si="11"/>
        <v>23</v>
      </c>
      <c r="E324" s="4" t="str" cm="1">
        <f t="array" ref="E324">_xlfn.IFS(
D324&lt;=5,"Newcomer",
D324&lt;=10,"Proficient",
D324&gt;10,"Expert"
)</f>
        <v>Expert</v>
      </c>
      <c r="F324" s="2" t="s">
        <v>106</v>
      </c>
      <c r="G324" s="5" t="s">
        <v>35</v>
      </c>
      <c r="H324" s="5" t="s">
        <v>36</v>
      </c>
      <c r="I324" s="2">
        <v>20</v>
      </c>
      <c r="J324" s="2" t="s">
        <v>17</v>
      </c>
      <c r="K324" s="2" t="s">
        <v>18</v>
      </c>
      <c r="L324" s="2" t="s">
        <v>96</v>
      </c>
      <c r="M324" s="4" t="str">
        <f t="shared" si="10"/>
        <v>Involuntary</v>
      </c>
      <c r="N324" s="23" t="s">
        <v>26</v>
      </c>
    </row>
    <row r="325" spans="1:14" x14ac:dyDescent="0.25">
      <c r="A325" s="22">
        <v>2645</v>
      </c>
      <c r="B325" s="3">
        <v>38451</v>
      </c>
      <c r="C325" s="3">
        <v>44085</v>
      </c>
      <c r="D325" s="2">
        <f t="shared" si="11"/>
        <v>15</v>
      </c>
      <c r="E325" s="4" t="str" cm="1">
        <f t="array" ref="E325">_xlfn.IFS(
D325&lt;=5,"Newcomer",
D325&lt;=10,"Proficient",
D325&gt;10,"Expert"
)</f>
        <v>Expert</v>
      </c>
      <c r="F325" s="2" t="s">
        <v>30</v>
      </c>
      <c r="G325" s="5" t="s">
        <v>35</v>
      </c>
      <c r="H325" s="5" t="s">
        <v>76</v>
      </c>
      <c r="I325" s="2">
        <v>37</v>
      </c>
      <c r="J325" s="2" t="s">
        <v>24</v>
      </c>
      <c r="K325" s="2" t="s">
        <v>25</v>
      </c>
      <c r="L325" s="2" t="s">
        <v>19</v>
      </c>
      <c r="M325" s="4" t="str">
        <f t="shared" si="10"/>
        <v>Voluntary</v>
      </c>
      <c r="N325" s="23" t="s">
        <v>26</v>
      </c>
    </row>
    <row r="326" spans="1:14" x14ac:dyDescent="0.25">
      <c r="A326" s="22">
        <v>2650</v>
      </c>
      <c r="B326" s="3">
        <v>40624</v>
      </c>
      <c r="C326" s="3">
        <v>43867</v>
      </c>
      <c r="D326" s="2">
        <f t="shared" si="11"/>
        <v>9</v>
      </c>
      <c r="E326" s="4" t="str" cm="1">
        <f t="array" ref="E326">_xlfn.IFS(
D326&lt;=5,"Newcomer",
D326&lt;=10,"Proficient",
D326&gt;10,"Expert"
)</f>
        <v>Proficient</v>
      </c>
      <c r="F326" s="2" t="s">
        <v>14</v>
      </c>
      <c r="G326" s="5" t="s">
        <v>62</v>
      </c>
      <c r="H326" s="5" t="s">
        <v>63</v>
      </c>
      <c r="I326" s="2">
        <v>35</v>
      </c>
      <c r="J326" s="2" t="s">
        <v>24</v>
      </c>
      <c r="K326" s="2" t="s">
        <v>25</v>
      </c>
      <c r="L326" s="2" t="s">
        <v>19</v>
      </c>
      <c r="M326" s="4" t="str">
        <f t="shared" si="10"/>
        <v>Voluntary</v>
      </c>
      <c r="N326" s="23" t="s">
        <v>26</v>
      </c>
    </row>
    <row r="327" spans="1:14" x14ac:dyDescent="0.25">
      <c r="A327" s="22">
        <v>2651</v>
      </c>
      <c r="B327" s="3">
        <v>35161</v>
      </c>
      <c r="C327" s="3">
        <v>44092</v>
      </c>
      <c r="D327" s="2">
        <f t="shared" si="11"/>
        <v>24</v>
      </c>
      <c r="E327" s="4" t="str" cm="1">
        <f t="array" ref="E327">_xlfn.IFS(
D327&lt;=5,"Newcomer",
D327&lt;=10,"Proficient",
D327&gt;10,"Expert"
)</f>
        <v>Expert</v>
      </c>
      <c r="F327" s="2" t="s">
        <v>90</v>
      </c>
      <c r="G327" s="5" t="s">
        <v>35</v>
      </c>
      <c r="H327" s="5" t="s">
        <v>76</v>
      </c>
      <c r="I327" s="2">
        <v>26</v>
      </c>
      <c r="J327" s="2" t="s">
        <v>24</v>
      </c>
      <c r="K327" s="2" t="s">
        <v>25</v>
      </c>
      <c r="L327" s="2" t="s">
        <v>19</v>
      </c>
      <c r="M327" s="4" t="str">
        <f t="shared" si="10"/>
        <v>Voluntary</v>
      </c>
      <c r="N327" s="23" t="s">
        <v>26</v>
      </c>
    </row>
    <row r="328" spans="1:14" x14ac:dyDescent="0.25">
      <c r="A328" s="22">
        <v>2652</v>
      </c>
      <c r="B328" s="3">
        <v>33494</v>
      </c>
      <c r="C328" s="3">
        <v>43855</v>
      </c>
      <c r="D328" s="2">
        <f t="shared" si="11"/>
        <v>29</v>
      </c>
      <c r="E328" s="4" t="str" cm="1">
        <f t="array" ref="E328">_xlfn.IFS(
D328&lt;=5,"Newcomer",
D328&lt;=10,"Proficient",
D328&gt;10,"Expert"
)</f>
        <v>Expert</v>
      </c>
      <c r="F328" s="2" t="s">
        <v>14</v>
      </c>
      <c r="G328" s="5" t="s">
        <v>62</v>
      </c>
      <c r="H328" s="5" t="s">
        <v>63</v>
      </c>
      <c r="I328" s="2">
        <v>35</v>
      </c>
      <c r="J328" s="2" t="s">
        <v>24</v>
      </c>
      <c r="K328" s="2" t="s">
        <v>25</v>
      </c>
      <c r="L328" s="2" t="s">
        <v>19</v>
      </c>
      <c r="M328" s="4" t="str">
        <f t="shared" si="10"/>
        <v>Voluntary</v>
      </c>
      <c r="N328" s="23" t="s">
        <v>26</v>
      </c>
    </row>
    <row r="329" spans="1:14" x14ac:dyDescent="0.25">
      <c r="A329" s="22">
        <v>2667</v>
      </c>
      <c r="B329" s="3">
        <v>33406</v>
      </c>
      <c r="C329" s="3">
        <v>44001</v>
      </c>
      <c r="D329" s="2">
        <f t="shared" si="11"/>
        <v>29</v>
      </c>
      <c r="E329" s="4" t="str" cm="1">
        <f t="array" ref="E329">_xlfn.IFS(
D329&lt;=5,"Newcomer",
D329&lt;=10,"Proficient",
D329&gt;10,"Expert"
)</f>
        <v>Expert</v>
      </c>
      <c r="F329" s="2" t="s">
        <v>81</v>
      </c>
      <c r="G329" s="5" t="s">
        <v>35</v>
      </c>
      <c r="H329" s="5" t="s">
        <v>76</v>
      </c>
      <c r="I329" s="2">
        <v>5</v>
      </c>
      <c r="J329" s="2" t="s">
        <v>24</v>
      </c>
      <c r="K329" s="2" t="s">
        <v>25</v>
      </c>
      <c r="L329" s="2" t="s">
        <v>19</v>
      </c>
      <c r="M329" s="4" t="str">
        <f t="shared" si="10"/>
        <v>Voluntary</v>
      </c>
      <c r="N329" s="23" t="s">
        <v>26</v>
      </c>
    </row>
    <row r="330" spans="1:14" x14ac:dyDescent="0.25">
      <c r="A330" s="22">
        <v>2668</v>
      </c>
      <c r="B330" s="3">
        <v>39993</v>
      </c>
      <c r="C330" s="3">
        <v>43906</v>
      </c>
      <c r="D330" s="2">
        <f t="shared" si="11"/>
        <v>11</v>
      </c>
      <c r="E330" s="4" t="str" cm="1">
        <f t="array" ref="E330">_xlfn.IFS(
D330&lt;=5,"Newcomer",
D330&lt;=10,"Proficient",
D330&gt;10,"Expert"
)</f>
        <v>Expert</v>
      </c>
      <c r="F330" s="2" t="s">
        <v>86</v>
      </c>
      <c r="G330" s="5" t="s">
        <v>35</v>
      </c>
      <c r="H330" s="5" t="s">
        <v>76</v>
      </c>
      <c r="I330" s="2">
        <v>8</v>
      </c>
      <c r="J330" s="2" t="s">
        <v>24</v>
      </c>
      <c r="K330" s="2" t="s">
        <v>25</v>
      </c>
      <c r="L330" s="2" t="s">
        <v>19</v>
      </c>
      <c r="M330" s="4" t="str">
        <f t="shared" si="10"/>
        <v>Voluntary</v>
      </c>
      <c r="N330" s="23" t="s">
        <v>26</v>
      </c>
    </row>
    <row r="331" spans="1:14" x14ac:dyDescent="0.25">
      <c r="A331" s="22">
        <v>2670</v>
      </c>
      <c r="B331" s="3">
        <v>41130</v>
      </c>
      <c r="C331" s="3">
        <v>43842</v>
      </c>
      <c r="D331" s="2">
        <f t="shared" si="11"/>
        <v>8</v>
      </c>
      <c r="E331" s="4" t="str" cm="1">
        <f t="array" ref="E331">_xlfn.IFS(
D331&lt;=5,"Newcomer",
D331&lt;=10,"Proficient",
D331&gt;10,"Expert"
)</f>
        <v>Proficient</v>
      </c>
      <c r="F331" s="2" t="s">
        <v>115</v>
      </c>
      <c r="G331" s="5" t="s">
        <v>62</v>
      </c>
      <c r="H331" s="5" t="s">
        <v>63</v>
      </c>
      <c r="I331" s="2">
        <v>17</v>
      </c>
      <c r="J331" s="2" t="s">
        <v>24</v>
      </c>
      <c r="K331" s="2" t="s">
        <v>25</v>
      </c>
      <c r="L331" s="2" t="s">
        <v>19</v>
      </c>
      <c r="M331" s="4" t="str">
        <f t="shared" si="10"/>
        <v>Voluntary</v>
      </c>
      <c r="N331" s="23" t="s">
        <v>26</v>
      </c>
    </row>
    <row r="332" spans="1:14" x14ac:dyDescent="0.25">
      <c r="A332" s="22">
        <v>2674</v>
      </c>
      <c r="B332" s="3">
        <v>38868</v>
      </c>
      <c r="C332" s="3">
        <v>44141</v>
      </c>
      <c r="D332" s="2">
        <f t="shared" si="11"/>
        <v>14</v>
      </c>
      <c r="E332" s="4" t="str" cm="1">
        <f t="array" ref="E332">_xlfn.IFS(
D332&lt;=5,"Newcomer",
D332&lt;=10,"Proficient",
D332&gt;10,"Expert"
)</f>
        <v>Expert</v>
      </c>
      <c r="F332" s="2" t="s">
        <v>27</v>
      </c>
      <c r="G332" s="5" t="s">
        <v>35</v>
      </c>
      <c r="H332" s="5" t="s">
        <v>76</v>
      </c>
      <c r="I332" s="2">
        <v>16</v>
      </c>
      <c r="J332" s="2" t="s">
        <v>24</v>
      </c>
      <c r="K332" s="2" t="s">
        <v>25</v>
      </c>
      <c r="L332" s="2" t="s">
        <v>19</v>
      </c>
      <c r="M332" s="4" t="str">
        <f t="shared" si="10"/>
        <v>Voluntary</v>
      </c>
      <c r="N332" s="23" t="s">
        <v>26</v>
      </c>
    </row>
    <row r="333" spans="1:14" x14ac:dyDescent="0.25">
      <c r="A333" s="22">
        <v>2675</v>
      </c>
      <c r="B333" s="3">
        <v>34392</v>
      </c>
      <c r="C333" s="3">
        <v>44020</v>
      </c>
      <c r="D333" s="2">
        <f t="shared" si="11"/>
        <v>26</v>
      </c>
      <c r="E333" s="4" t="str" cm="1">
        <f t="array" ref="E333">_xlfn.IFS(
D333&lt;=5,"Newcomer",
D333&lt;=10,"Proficient",
D333&gt;10,"Expert"
)</f>
        <v>Expert</v>
      </c>
      <c r="F333" s="2" t="s">
        <v>78</v>
      </c>
      <c r="G333" s="5" t="s">
        <v>35</v>
      </c>
      <c r="H333" s="5" t="s">
        <v>76</v>
      </c>
      <c r="I333" s="2">
        <v>21</v>
      </c>
      <c r="J333" s="2" t="s">
        <v>24</v>
      </c>
      <c r="K333" s="2" t="s">
        <v>25</v>
      </c>
      <c r="L333" s="2" t="s">
        <v>50</v>
      </c>
      <c r="M333" s="4" t="str">
        <f t="shared" si="10"/>
        <v>Voluntary</v>
      </c>
      <c r="N333" s="23" t="s">
        <v>26</v>
      </c>
    </row>
    <row r="334" spans="1:14" x14ac:dyDescent="0.25">
      <c r="A334" s="22">
        <v>2679</v>
      </c>
      <c r="B334" s="3">
        <v>37553</v>
      </c>
      <c r="C334" s="3">
        <v>44166</v>
      </c>
      <c r="D334" s="2">
        <f t="shared" si="11"/>
        <v>18</v>
      </c>
      <c r="E334" s="4" t="str" cm="1">
        <f t="array" ref="E334">_xlfn.IFS(
D334&lt;=5,"Newcomer",
D334&lt;=10,"Proficient",
D334&gt;10,"Expert"
)</f>
        <v>Expert</v>
      </c>
      <c r="F334" s="2" t="s">
        <v>106</v>
      </c>
      <c r="G334" s="5" t="s">
        <v>42</v>
      </c>
      <c r="H334" s="5" t="s">
        <v>43</v>
      </c>
      <c r="I334" s="2">
        <v>20</v>
      </c>
      <c r="J334" s="2" t="s">
        <v>17</v>
      </c>
      <c r="K334" s="2" t="s">
        <v>18</v>
      </c>
      <c r="L334" s="2" t="s">
        <v>96</v>
      </c>
      <c r="M334" s="4" t="str">
        <f t="shared" si="10"/>
        <v>Involuntary</v>
      </c>
      <c r="N334" s="23" t="s">
        <v>26</v>
      </c>
    </row>
    <row r="335" spans="1:14" x14ac:dyDescent="0.25">
      <c r="A335" s="22">
        <v>2681</v>
      </c>
      <c r="B335" s="3">
        <v>37941</v>
      </c>
      <c r="C335" s="3">
        <v>43964</v>
      </c>
      <c r="D335" s="2">
        <f t="shared" si="11"/>
        <v>17</v>
      </c>
      <c r="E335" s="4" t="str" cm="1">
        <f t="array" ref="E335">_xlfn.IFS(
D335&lt;=5,"Newcomer",
D335&lt;=10,"Proficient",
D335&gt;10,"Expert"
)</f>
        <v>Expert</v>
      </c>
      <c r="F335" s="2" t="s">
        <v>106</v>
      </c>
      <c r="G335" s="5" t="s">
        <v>62</v>
      </c>
      <c r="H335" s="5" t="s">
        <v>63</v>
      </c>
      <c r="I335" s="2">
        <v>20</v>
      </c>
      <c r="J335" s="2" t="s">
        <v>24</v>
      </c>
      <c r="K335" s="2" t="s">
        <v>25</v>
      </c>
      <c r="L335" s="2" t="s">
        <v>19</v>
      </c>
      <c r="M335" s="4" t="str">
        <f t="shared" si="10"/>
        <v>Voluntary</v>
      </c>
      <c r="N335" s="23" t="s">
        <v>26</v>
      </c>
    </row>
    <row r="336" spans="1:14" x14ac:dyDescent="0.25">
      <c r="A336" s="22">
        <v>2689</v>
      </c>
      <c r="B336" s="3">
        <v>35388</v>
      </c>
      <c r="C336" s="3">
        <v>44110</v>
      </c>
      <c r="D336" s="2">
        <f t="shared" si="11"/>
        <v>24</v>
      </c>
      <c r="E336" s="4" t="str" cm="1">
        <f t="array" ref="E336">_xlfn.IFS(
D336&lt;=5,"Newcomer",
D336&lt;=10,"Proficient",
D336&gt;10,"Expert"
)</f>
        <v>Expert</v>
      </c>
      <c r="F336" s="2" t="s">
        <v>86</v>
      </c>
      <c r="G336" s="5" t="s">
        <v>35</v>
      </c>
      <c r="H336" s="5" t="s">
        <v>76</v>
      </c>
      <c r="I336" s="2">
        <v>8</v>
      </c>
      <c r="J336" s="2" t="s">
        <v>24</v>
      </c>
      <c r="K336" s="2" t="s">
        <v>25</v>
      </c>
      <c r="L336" s="2" t="s">
        <v>19</v>
      </c>
      <c r="M336" s="4" t="str">
        <f t="shared" si="10"/>
        <v>Voluntary</v>
      </c>
      <c r="N336" s="23" t="s">
        <v>26</v>
      </c>
    </row>
    <row r="337" spans="1:14" x14ac:dyDescent="0.25">
      <c r="A337" s="22">
        <v>2696</v>
      </c>
      <c r="B337" s="3">
        <v>35286</v>
      </c>
      <c r="C337" s="3">
        <v>44182</v>
      </c>
      <c r="D337" s="2">
        <f t="shared" si="11"/>
        <v>24</v>
      </c>
      <c r="E337" s="4" t="str" cm="1">
        <f t="array" ref="E337">_xlfn.IFS(
D337&lt;=5,"Newcomer",
D337&lt;=10,"Proficient",
D337&gt;10,"Expert"
)</f>
        <v>Expert</v>
      </c>
      <c r="F337" s="2" t="s">
        <v>30</v>
      </c>
      <c r="G337" s="5" t="s">
        <v>35</v>
      </c>
      <c r="H337" s="5" t="s">
        <v>76</v>
      </c>
      <c r="I337" s="2">
        <v>37</v>
      </c>
      <c r="J337" s="2" t="s">
        <v>24</v>
      </c>
      <c r="K337" s="2" t="s">
        <v>25</v>
      </c>
      <c r="L337" s="2" t="s">
        <v>19</v>
      </c>
      <c r="M337" s="4" t="str">
        <f t="shared" si="10"/>
        <v>Voluntary</v>
      </c>
      <c r="N337" s="23" t="s">
        <v>26</v>
      </c>
    </row>
    <row r="338" spans="1:14" x14ac:dyDescent="0.25">
      <c r="A338" s="22">
        <v>2701</v>
      </c>
      <c r="B338" s="3">
        <v>34836</v>
      </c>
      <c r="C338" s="3">
        <v>43912</v>
      </c>
      <c r="D338" s="2">
        <f t="shared" si="11"/>
        <v>25</v>
      </c>
      <c r="E338" s="4" t="str" cm="1">
        <f t="array" ref="E338">_xlfn.IFS(
D338&lt;=5,"Newcomer",
D338&lt;=10,"Proficient",
D338&gt;10,"Expert"
)</f>
        <v>Expert</v>
      </c>
      <c r="F338" s="2" t="s">
        <v>53</v>
      </c>
      <c r="G338" s="5" t="s">
        <v>35</v>
      </c>
      <c r="H338" s="5" t="s">
        <v>76</v>
      </c>
      <c r="I338" s="2">
        <v>31</v>
      </c>
      <c r="J338" s="2" t="s">
        <v>24</v>
      </c>
      <c r="K338" s="2" t="s">
        <v>25</v>
      </c>
      <c r="L338" s="2" t="s">
        <v>19</v>
      </c>
      <c r="M338" s="4" t="str">
        <f t="shared" si="10"/>
        <v>Voluntary</v>
      </c>
      <c r="N338" s="23" t="s">
        <v>26</v>
      </c>
    </row>
    <row r="339" spans="1:14" x14ac:dyDescent="0.25">
      <c r="A339" s="22">
        <v>2702</v>
      </c>
      <c r="B339" s="3">
        <v>33704</v>
      </c>
      <c r="C339" s="3">
        <v>44185</v>
      </c>
      <c r="D339" s="2">
        <f t="shared" si="11"/>
        <v>28</v>
      </c>
      <c r="E339" s="4" t="str" cm="1">
        <f t="array" ref="E339">_xlfn.IFS(
D339&lt;=5,"Newcomer",
D339&lt;=10,"Proficient",
D339&gt;10,"Expert"
)</f>
        <v>Expert</v>
      </c>
      <c r="F339" s="2" t="s">
        <v>53</v>
      </c>
      <c r="G339" s="5" t="s">
        <v>35</v>
      </c>
      <c r="H339" s="5" t="s">
        <v>76</v>
      </c>
      <c r="I339" s="2">
        <v>31</v>
      </c>
      <c r="J339" s="2" t="s">
        <v>24</v>
      </c>
      <c r="K339" s="2" t="s">
        <v>25</v>
      </c>
      <c r="L339" s="2" t="s">
        <v>19</v>
      </c>
      <c r="M339" s="4" t="str">
        <f t="shared" si="10"/>
        <v>Voluntary</v>
      </c>
      <c r="N339" s="23" t="s">
        <v>26</v>
      </c>
    </row>
    <row r="340" spans="1:14" x14ac:dyDescent="0.25">
      <c r="A340" s="22">
        <v>2703</v>
      </c>
      <c r="B340" s="3">
        <v>37660</v>
      </c>
      <c r="C340" s="3">
        <v>44083</v>
      </c>
      <c r="D340" s="2">
        <f t="shared" si="11"/>
        <v>17</v>
      </c>
      <c r="E340" s="4" t="str" cm="1">
        <f t="array" ref="E340">_xlfn.IFS(
D340&lt;=5,"Newcomer",
D340&lt;=10,"Proficient",
D340&gt;10,"Expert"
)</f>
        <v>Expert</v>
      </c>
      <c r="F340" s="2" t="s">
        <v>109</v>
      </c>
      <c r="G340" s="5" t="s">
        <v>35</v>
      </c>
      <c r="H340" s="5" t="s">
        <v>76</v>
      </c>
      <c r="I340" s="2">
        <v>22</v>
      </c>
      <c r="J340" s="2" t="s">
        <v>24</v>
      </c>
      <c r="K340" s="2" t="s">
        <v>25</v>
      </c>
      <c r="L340" s="2" t="s">
        <v>50</v>
      </c>
      <c r="M340" s="4" t="str">
        <f t="shared" si="10"/>
        <v>Voluntary</v>
      </c>
      <c r="N340" s="23" t="s">
        <v>26</v>
      </c>
    </row>
    <row r="341" spans="1:14" x14ac:dyDescent="0.25">
      <c r="A341" s="22">
        <v>2705</v>
      </c>
      <c r="B341" s="3">
        <v>36966</v>
      </c>
      <c r="C341" s="3">
        <v>44100</v>
      </c>
      <c r="D341" s="2">
        <f t="shared" si="11"/>
        <v>19</v>
      </c>
      <c r="E341" s="4" t="str" cm="1">
        <f t="array" ref="E341">_xlfn.IFS(
D341&lt;=5,"Newcomer",
D341&lt;=10,"Proficient",
D341&gt;10,"Expert"
)</f>
        <v>Expert</v>
      </c>
      <c r="F341" s="2" t="s">
        <v>14</v>
      </c>
      <c r="G341" s="5" t="s">
        <v>62</v>
      </c>
      <c r="H341" s="5" t="s">
        <v>63</v>
      </c>
      <c r="I341" s="2">
        <v>35</v>
      </c>
      <c r="J341" s="2" t="s">
        <v>24</v>
      </c>
      <c r="K341" s="2" t="s">
        <v>25</v>
      </c>
      <c r="L341" s="2" t="s">
        <v>19</v>
      </c>
      <c r="M341" s="4" t="str">
        <f t="shared" si="10"/>
        <v>Voluntary</v>
      </c>
      <c r="N341" s="23" t="s">
        <v>26</v>
      </c>
    </row>
    <row r="342" spans="1:14" x14ac:dyDescent="0.25">
      <c r="A342" s="22">
        <v>2708</v>
      </c>
      <c r="B342" s="3">
        <v>42096</v>
      </c>
      <c r="C342" s="3">
        <v>43861</v>
      </c>
      <c r="D342" s="2">
        <f t="shared" si="11"/>
        <v>5</v>
      </c>
      <c r="E342" s="4" t="str" cm="1">
        <f t="array" ref="E342">_xlfn.IFS(
D342&lt;=5,"Newcomer",
D342&lt;=10,"Proficient",
D342&gt;10,"Expert"
)</f>
        <v>Newcomer</v>
      </c>
      <c r="F342" s="2" t="s">
        <v>14</v>
      </c>
      <c r="G342" s="5" t="s">
        <v>62</v>
      </c>
      <c r="H342" s="5" t="s">
        <v>63</v>
      </c>
      <c r="I342" s="2">
        <v>35</v>
      </c>
      <c r="J342" s="2" t="s">
        <v>24</v>
      </c>
      <c r="K342" s="2" t="s">
        <v>25</v>
      </c>
      <c r="L342" s="2" t="s">
        <v>19</v>
      </c>
      <c r="M342" s="4" t="str">
        <f t="shared" si="10"/>
        <v>Voluntary</v>
      </c>
      <c r="N342" s="23" t="s">
        <v>26</v>
      </c>
    </row>
    <row r="343" spans="1:14" x14ac:dyDescent="0.25">
      <c r="A343" s="22">
        <v>2716</v>
      </c>
      <c r="B343" s="3">
        <v>37451</v>
      </c>
      <c r="C343" s="3">
        <v>43932</v>
      </c>
      <c r="D343" s="2">
        <f t="shared" si="11"/>
        <v>18</v>
      </c>
      <c r="E343" s="4" t="str" cm="1">
        <f t="array" ref="E343">_xlfn.IFS(
D343&lt;=5,"Newcomer",
D343&lt;=10,"Proficient",
D343&gt;10,"Expert"
)</f>
        <v>Expert</v>
      </c>
      <c r="F343" s="2" t="s">
        <v>115</v>
      </c>
      <c r="G343" s="5" t="s">
        <v>35</v>
      </c>
      <c r="H343" s="5" t="s">
        <v>76</v>
      </c>
      <c r="I343" s="2">
        <v>17</v>
      </c>
      <c r="J343" s="2" t="s">
        <v>24</v>
      </c>
      <c r="K343" s="2" t="s">
        <v>25</v>
      </c>
      <c r="L343" s="2" t="s">
        <v>19</v>
      </c>
      <c r="M343" s="4" t="str">
        <f t="shared" si="10"/>
        <v>Voluntary</v>
      </c>
      <c r="N343" s="23" t="s">
        <v>26</v>
      </c>
    </row>
    <row r="344" spans="1:14" x14ac:dyDescent="0.25">
      <c r="A344" s="22">
        <v>2720</v>
      </c>
      <c r="B344" s="3">
        <v>38183</v>
      </c>
      <c r="C344" s="3">
        <v>44004</v>
      </c>
      <c r="D344" s="2">
        <f t="shared" si="11"/>
        <v>16</v>
      </c>
      <c r="E344" s="4" t="str" cm="1">
        <f t="array" ref="E344">_xlfn.IFS(
D344&lt;=5,"Newcomer",
D344&lt;=10,"Proficient",
D344&gt;10,"Expert"
)</f>
        <v>Expert</v>
      </c>
      <c r="F344" s="2" t="s">
        <v>103</v>
      </c>
      <c r="G344" s="5" t="s">
        <v>35</v>
      </c>
      <c r="H344" s="5" t="s">
        <v>76</v>
      </c>
      <c r="I344" s="2">
        <v>2</v>
      </c>
      <c r="J344" s="2" t="s">
        <v>24</v>
      </c>
      <c r="K344" s="2" t="s">
        <v>25</v>
      </c>
      <c r="L344" s="2" t="s">
        <v>19</v>
      </c>
      <c r="M344" s="4" t="str">
        <f t="shared" si="10"/>
        <v>Voluntary</v>
      </c>
      <c r="N344" s="23" t="s">
        <v>26</v>
      </c>
    </row>
    <row r="345" spans="1:14" x14ac:dyDescent="0.25">
      <c r="A345" s="22">
        <v>2723</v>
      </c>
      <c r="B345" s="3">
        <v>37505</v>
      </c>
      <c r="C345" s="3">
        <v>44094</v>
      </c>
      <c r="D345" s="2">
        <f t="shared" si="11"/>
        <v>18</v>
      </c>
      <c r="E345" s="4" t="str" cm="1">
        <f t="array" ref="E345">_xlfn.IFS(
D345&lt;=5,"Newcomer",
D345&lt;=10,"Proficient",
D345&gt;10,"Expert"
)</f>
        <v>Expert</v>
      </c>
      <c r="F345" s="2" t="s">
        <v>14</v>
      </c>
      <c r="G345" s="5" t="s">
        <v>62</v>
      </c>
      <c r="H345" s="5" t="s">
        <v>63</v>
      </c>
      <c r="I345" s="2">
        <v>35</v>
      </c>
      <c r="J345" s="2" t="s">
        <v>24</v>
      </c>
      <c r="K345" s="2" t="s">
        <v>25</v>
      </c>
      <c r="L345" s="2" t="s">
        <v>19</v>
      </c>
      <c r="M345" s="4" t="str">
        <f t="shared" si="10"/>
        <v>Voluntary</v>
      </c>
      <c r="N345" s="23" t="s">
        <v>26</v>
      </c>
    </row>
    <row r="346" spans="1:14" x14ac:dyDescent="0.25">
      <c r="A346" s="22">
        <v>2724</v>
      </c>
      <c r="B346" s="3">
        <v>42226</v>
      </c>
      <c r="C346" s="3">
        <v>44120</v>
      </c>
      <c r="D346" s="2">
        <f t="shared" si="11"/>
        <v>5</v>
      </c>
      <c r="E346" s="4" t="str" cm="1">
        <f t="array" ref="E346">_xlfn.IFS(
D346&lt;=5,"Newcomer",
D346&lt;=10,"Proficient",
D346&gt;10,"Expert"
)</f>
        <v>Newcomer</v>
      </c>
      <c r="F346" s="2" t="s">
        <v>70</v>
      </c>
      <c r="G346" s="5" t="s">
        <v>35</v>
      </c>
      <c r="H346" s="5" t="s">
        <v>76</v>
      </c>
      <c r="I346" s="2">
        <v>6</v>
      </c>
      <c r="J346" s="2" t="s">
        <v>24</v>
      </c>
      <c r="K346" s="2" t="s">
        <v>25</v>
      </c>
      <c r="L346" s="2" t="s">
        <v>19</v>
      </c>
      <c r="M346" s="4" t="str">
        <f t="shared" si="10"/>
        <v>Voluntary</v>
      </c>
      <c r="N346" s="23" t="s">
        <v>26</v>
      </c>
    </row>
    <row r="347" spans="1:14" x14ac:dyDescent="0.25">
      <c r="A347" s="22">
        <v>2726</v>
      </c>
      <c r="B347" s="3">
        <v>34038</v>
      </c>
      <c r="C347" s="3">
        <v>44066</v>
      </c>
      <c r="D347" s="2">
        <f t="shared" si="11"/>
        <v>27</v>
      </c>
      <c r="E347" s="4" t="str" cm="1">
        <f t="array" ref="E347">_xlfn.IFS(
D347&lt;=5,"Newcomer",
D347&lt;=10,"Proficient",
D347&gt;10,"Expert"
)</f>
        <v>Expert</v>
      </c>
      <c r="F347" s="2" t="s">
        <v>90</v>
      </c>
      <c r="G347" s="5" t="s">
        <v>35</v>
      </c>
      <c r="H347" s="5" t="s">
        <v>76</v>
      </c>
      <c r="I347" s="2">
        <v>26</v>
      </c>
      <c r="J347" s="2" t="s">
        <v>24</v>
      </c>
      <c r="K347" s="2" t="s">
        <v>25</v>
      </c>
      <c r="L347" s="2" t="s">
        <v>19</v>
      </c>
      <c r="M347" s="4" t="str">
        <f t="shared" si="10"/>
        <v>Voluntary</v>
      </c>
      <c r="N347" s="23" t="s">
        <v>26</v>
      </c>
    </row>
    <row r="348" spans="1:14" x14ac:dyDescent="0.25">
      <c r="A348" s="22">
        <v>2730</v>
      </c>
      <c r="B348" s="3">
        <v>36340</v>
      </c>
      <c r="C348" s="3">
        <v>43833</v>
      </c>
      <c r="D348" s="2">
        <f t="shared" si="11"/>
        <v>21</v>
      </c>
      <c r="E348" s="4" t="str" cm="1">
        <f t="array" ref="E348">_xlfn.IFS(
D348&lt;=5,"Newcomer",
D348&lt;=10,"Proficient",
D348&gt;10,"Expert"
)</f>
        <v>Expert</v>
      </c>
      <c r="F348" s="2" t="s">
        <v>78</v>
      </c>
      <c r="G348" s="5" t="s">
        <v>35</v>
      </c>
      <c r="H348" s="5" t="s">
        <v>76</v>
      </c>
      <c r="I348" s="2">
        <v>21</v>
      </c>
      <c r="J348" s="2" t="s">
        <v>24</v>
      </c>
      <c r="K348" s="2" t="s">
        <v>25</v>
      </c>
      <c r="L348" s="2" t="s">
        <v>19</v>
      </c>
      <c r="M348" s="4" t="str">
        <f t="shared" si="10"/>
        <v>Voluntary</v>
      </c>
      <c r="N348" s="23" t="s">
        <v>26</v>
      </c>
    </row>
    <row r="349" spans="1:14" x14ac:dyDescent="0.25">
      <c r="A349" s="22">
        <v>2733</v>
      </c>
      <c r="B349" s="3">
        <v>37581</v>
      </c>
      <c r="C349" s="3">
        <v>44002</v>
      </c>
      <c r="D349" s="2">
        <f t="shared" si="11"/>
        <v>18</v>
      </c>
      <c r="E349" s="4" t="str" cm="1">
        <f t="array" ref="E349">_xlfn.IFS(
D349&lt;=5,"Newcomer",
D349&lt;=10,"Proficient",
D349&gt;10,"Expert"
)</f>
        <v>Expert</v>
      </c>
      <c r="F349" s="2" t="s">
        <v>49</v>
      </c>
      <c r="G349" s="5" t="s">
        <v>35</v>
      </c>
      <c r="H349" s="5" t="s">
        <v>76</v>
      </c>
      <c r="I349" s="2">
        <v>12</v>
      </c>
      <c r="J349" s="2" t="s">
        <v>24</v>
      </c>
      <c r="K349" s="2" t="s">
        <v>25</v>
      </c>
      <c r="L349" s="2" t="s">
        <v>19</v>
      </c>
      <c r="M349" s="4" t="str">
        <f t="shared" si="10"/>
        <v>Voluntary</v>
      </c>
      <c r="N349" s="23" t="s">
        <v>26</v>
      </c>
    </row>
    <row r="350" spans="1:14" x14ac:dyDescent="0.25">
      <c r="A350" s="22">
        <v>2737</v>
      </c>
      <c r="B350" s="3">
        <v>38947</v>
      </c>
      <c r="C350" s="3">
        <v>44188</v>
      </c>
      <c r="D350" s="2">
        <f t="shared" si="11"/>
        <v>14</v>
      </c>
      <c r="E350" s="4" t="str" cm="1">
        <f t="array" ref="E350">_xlfn.IFS(
D350&lt;=5,"Newcomer",
D350&lt;=10,"Proficient",
D350&gt;10,"Expert"
)</f>
        <v>Expert</v>
      </c>
      <c r="F350" s="2" t="s">
        <v>107</v>
      </c>
      <c r="G350" s="5" t="s">
        <v>47</v>
      </c>
      <c r="H350" s="5" t="s">
        <v>48</v>
      </c>
      <c r="I350" s="2">
        <v>11</v>
      </c>
      <c r="J350" s="2" t="s">
        <v>17</v>
      </c>
      <c r="K350" s="2" t="s">
        <v>18</v>
      </c>
      <c r="L350" s="2" t="s">
        <v>96</v>
      </c>
      <c r="M350" s="4" t="str">
        <f t="shared" si="10"/>
        <v>Involuntary</v>
      </c>
      <c r="N350" s="23" t="s">
        <v>26</v>
      </c>
    </row>
    <row r="351" spans="1:14" x14ac:dyDescent="0.25">
      <c r="A351" s="22">
        <v>2739</v>
      </c>
      <c r="B351" s="3">
        <v>37594</v>
      </c>
      <c r="C351" s="3">
        <v>44122</v>
      </c>
      <c r="D351" s="2">
        <f t="shared" si="11"/>
        <v>18</v>
      </c>
      <c r="E351" s="4" t="str" cm="1">
        <f t="array" ref="E351">_xlfn.IFS(
D351&lt;=5,"Newcomer",
D351&lt;=10,"Proficient",
D351&gt;10,"Expert"
)</f>
        <v>Expert</v>
      </c>
      <c r="F351" s="2" t="s">
        <v>49</v>
      </c>
      <c r="G351" s="5" t="s">
        <v>35</v>
      </c>
      <c r="H351" s="5" t="s">
        <v>76</v>
      </c>
      <c r="I351" s="2">
        <v>12</v>
      </c>
      <c r="J351" s="2" t="s">
        <v>24</v>
      </c>
      <c r="K351" s="2" t="s">
        <v>25</v>
      </c>
      <c r="L351" s="2" t="s">
        <v>19</v>
      </c>
      <c r="M351" s="4" t="str">
        <f t="shared" si="10"/>
        <v>Voluntary</v>
      </c>
      <c r="N351" s="23" t="s">
        <v>26</v>
      </c>
    </row>
    <row r="352" spans="1:14" x14ac:dyDescent="0.25">
      <c r="A352" s="22">
        <v>2744</v>
      </c>
      <c r="B352" s="3">
        <v>40304</v>
      </c>
      <c r="C352" s="3">
        <v>43960</v>
      </c>
      <c r="D352" s="2">
        <f t="shared" si="11"/>
        <v>10</v>
      </c>
      <c r="E352" s="4" t="str" cm="1">
        <f t="array" ref="E352">_xlfn.IFS(
D352&lt;=5,"Newcomer",
D352&lt;=10,"Proficient",
D352&gt;10,"Expert"
)</f>
        <v>Proficient</v>
      </c>
      <c r="F352" s="2" t="s">
        <v>81</v>
      </c>
      <c r="G352" s="5" t="s">
        <v>35</v>
      </c>
      <c r="H352" s="5" t="s">
        <v>76</v>
      </c>
      <c r="I352" s="2">
        <v>5</v>
      </c>
      <c r="J352" s="2" t="s">
        <v>24</v>
      </c>
      <c r="K352" s="2" t="s">
        <v>25</v>
      </c>
      <c r="L352" s="2" t="s">
        <v>19</v>
      </c>
      <c r="M352" s="4" t="str">
        <f t="shared" si="10"/>
        <v>Voluntary</v>
      </c>
      <c r="N352" s="23" t="s">
        <v>26</v>
      </c>
    </row>
    <row r="353" spans="1:14" x14ac:dyDescent="0.25">
      <c r="A353" s="22">
        <v>2747</v>
      </c>
      <c r="B353" s="3">
        <v>37716</v>
      </c>
      <c r="C353" s="3">
        <v>44045</v>
      </c>
      <c r="D353" s="2">
        <f t="shared" si="11"/>
        <v>17</v>
      </c>
      <c r="E353" s="4" t="str" cm="1">
        <f t="array" ref="E353">_xlfn.IFS(
D353&lt;=5,"Newcomer",
D353&lt;=10,"Proficient",
D353&gt;10,"Expert"
)</f>
        <v>Expert</v>
      </c>
      <c r="F353" s="2" t="s">
        <v>81</v>
      </c>
      <c r="G353" s="5" t="s">
        <v>35</v>
      </c>
      <c r="H353" s="5" t="s">
        <v>76</v>
      </c>
      <c r="I353" s="2">
        <v>5</v>
      </c>
      <c r="J353" s="2" t="s">
        <v>24</v>
      </c>
      <c r="K353" s="2" t="s">
        <v>25</v>
      </c>
      <c r="L353" s="2" t="s">
        <v>19</v>
      </c>
      <c r="M353" s="4" t="str">
        <f t="shared" si="10"/>
        <v>Voluntary</v>
      </c>
      <c r="N353" s="23" t="s">
        <v>26</v>
      </c>
    </row>
    <row r="354" spans="1:14" x14ac:dyDescent="0.25">
      <c r="A354" s="22">
        <v>2748</v>
      </c>
      <c r="B354" s="3">
        <v>40241</v>
      </c>
      <c r="C354" s="3">
        <v>43953</v>
      </c>
      <c r="D354" s="2">
        <f t="shared" si="11"/>
        <v>10</v>
      </c>
      <c r="E354" s="4" t="str" cm="1">
        <f t="array" ref="E354">_xlfn.IFS(
D354&lt;=5,"Newcomer",
D354&lt;=10,"Proficient",
D354&gt;10,"Expert"
)</f>
        <v>Proficient</v>
      </c>
      <c r="F354" s="2" t="s">
        <v>70</v>
      </c>
      <c r="G354" s="5" t="s">
        <v>35</v>
      </c>
      <c r="H354" s="5" t="s">
        <v>76</v>
      </c>
      <c r="I354" s="2">
        <v>6</v>
      </c>
      <c r="J354" s="2" t="s">
        <v>24</v>
      </c>
      <c r="K354" s="2" t="s">
        <v>25</v>
      </c>
      <c r="L354" s="2" t="s">
        <v>19</v>
      </c>
      <c r="M354" s="4" t="str">
        <f t="shared" si="10"/>
        <v>Voluntary</v>
      </c>
      <c r="N354" s="23" t="s">
        <v>26</v>
      </c>
    </row>
    <row r="355" spans="1:14" x14ac:dyDescent="0.25">
      <c r="A355" s="22">
        <v>2750</v>
      </c>
      <c r="B355" s="3">
        <v>36696</v>
      </c>
      <c r="C355" s="3">
        <v>44152</v>
      </c>
      <c r="D355" s="2">
        <f t="shared" si="11"/>
        <v>20</v>
      </c>
      <c r="E355" s="4" t="str" cm="1">
        <f t="array" ref="E355">_xlfn.IFS(
D355&lt;=5,"Newcomer",
D355&lt;=10,"Proficient",
D355&gt;10,"Expert"
)</f>
        <v>Expert</v>
      </c>
      <c r="F355" s="2" t="s">
        <v>53</v>
      </c>
      <c r="G355" s="5" t="s">
        <v>35</v>
      </c>
      <c r="H355" s="5" t="s">
        <v>76</v>
      </c>
      <c r="I355" s="2">
        <v>31</v>
      </c>
      <c r="J355" s="2" t="s">
        <v>24</v>
      </c>
      <c r="K355" s="2" t="s">
        <v>25</v>
      </c>
      <c r="L355" s="2" t="s">
        <v>19</v>
      </c>
      <c r="M355" s="4" t="str">
        <f t="shared" si="10"/>
        <v>Voluntary</v>
      </c>
      <c r="N355" s="23" t="s">
        <v>26</v>
      </c>
    </row>
    <row r="356" spans="1:14" x14ac:dyDescent="0.25">
      <c r="A356" s="22">
        <v>2756</v>
      </c>
      <c r="B356" s="3">
        <v>37175</v>
      </c>
      <c r="C356" s="3">
        <v>43999</v>
      </c>
      <c r="D356" s="2">
        <f t="shared" si="11"/>
        <v>19</v>
      </c>
      <c r="E356" s="4" t="str" cm="1">
        <f t="array" ref="E356">_xlfn.IFS(
D356&lt;=5,"Newcomer",
D356&lt;=10,"Proficient",
D356&gt;10,"Expert"
)</f>
        <v>Expert</v>
      </c>
      <c r="F356" s="2" t="s">
        <v>87</v>
      </c>
      <c r="G356" s="5" t="s">
        <v>35</v>
      </c>
      <c r="H356" s="5" t="s">
        <v>76</v>
      </c>
      <c r="I356" s="2">
        <v>40</v>
      </c>
      <c r="J356" s="2" t="s">
        <v>24</v>
      </c>
      <c r="K356" s="2" t="s">
        <v>25</v>
      </c>
      <c r="L356" s="2" t="s">
        <v>19</v>
      </c>
      <c r="M356" s="4" t="str">
        <f t="shared" si="10"/>
        <v>Voluntary</v>
      </c>
      <c r="N356" s="23" t="s">
        <v>26</v>
      </c>
    </row>
    <row r="357" spans="1:14" x14ac:dyDescent="0.25">
      <c r="A357" s="22">
        <v>2761</v>
      </c>
      <c r="B357" s="3">
        <v>42290</v>
      </c>
      <c r="C357" s="3">
        <v>43989</v>
      </c>
      <c r="D357" s="2">
        <f t="shared" si="11"/>
        <v>5</v>
      </c>
      <c r="E357" s="4" t="str" cm="1">
        <f t="array" ref="E357">_xlfn.IFS(
D357&lt;=5,"Newcomer",
D357&lt;=10,"Proficient",
D357&gt;10,"Expert"
)</f>
        <v>Newcomer</v>
      </c>
      <c r="F357" s="2" t="s">
        <v>49</v>
      </c>
      <c r="G357" s="5" t="s">
        <v>35</v>
      </c>
      <c r="H357" s="5" t="s">
        <v>76</v>
      </c>
      <c r="I357" s="2">
        <v>12</v>
      </c>
      <c r="J357" s="2" t="s">
        <v>24</v>
      </c>
      <c r="K357" s="2" t="s">
        <v>25</v>
      </c>
      <c r="L357" s="2" t="s">
        <v>19</v>
      </c>
      <c r="M357" s="4" t="str">
        <f t="shared" si="10"/>
        <v>Voluntary</v>
      </c>
      <c r="N357" s="23" t="s">
        <v>26</v>
      </c>
    </row>
    <row r="358" spans="1:14" x14ac:dyDescent="0.25">
      <c r="A358" s="22">
        <v>2762</v>
      </c>
      <c r="B358" s="3">
        <v>34270</v>
      </c>
      <c r="C358" s="3">
        <v>44137</v>
      </c>
      <c r="D358" s="2">
        <f t="shared" si="11"/>
        <v>27</v>
      </c>
      <c r="E358" s="4" t="str" cm="1">
        <f t="array" ref="E358">_xlfn.IFS(
D358&lt;=5,"Newcomer",
D358&lt;=10,"Proficient",
D358&gt;10,"Expert"
)</f>
        <v>Expert</v>
      </c>
      <c r="F358" s="2" t="s">
        <v>14</v>
      </c>
      <c r="G358" s="5" t="s">
        <v>62</v>
      </c>
      <c r="H358" s="5" t="s">
        <v>63</v>
      </c>
      <c r="I358" s="2">
        <v>35</v>
      </c>
      <c r="J358" s="2" t="s">
        <v>24</v>
      </c>
      <c r="K358" s="2" t="s">
        <v>25</v>
      </c>
      <c r="L358" s="2" t="s">
        <v>19</v>
      </c>
      <c r="M358" s="4" t="str">
        <f t="shared" si="10"/>
        <v>Voluntary</v>
      </c>
      <c r="N358" s="23" t="s">
        <v>26</v>
      </c>
    </row>
    <row r="359" spans="1:14" x14ac:dyDescent="0.25">
      <c r="A359" s="22">
        <v>2766</v>
      </c>
      <c r="B359" s="3">
        <v>39243</v>
      </c>
      <c r="C359" s="3">
        <v>43915</v>
      </c>
      <c r="D359" s="2">
        <f t="shared" si="11"/>
        <v>13</v>
      </c>
      <c r="E359" s="4" t="str" cm="1">
        <f t="array" ref="E359">_xlfn.IFS(
D359&lt;=5,"Newcomer",
D359&lt;=10,"Proficient",
D359&gt;10,"Expert"
)</f>
        <v>Expert</v>
      </c>
      <c r="F359" s="2" t="s">
        <v>27</v>
      </c>
      <c r="G359" s="5" t="s">
        <v>35</v>
      </c>
      <c r="H359" s="5" t="s">
        <v>76</v>
      </c>
      <c r="I359" s="2">
        <v>16</v>
      </c>
      <c r="J359" s="2" t="s">
        <v>24</v>
      </c>
      <c r="K359" s="2" t="s">
        <v>25</v>
      </c>
      <c r="L359" s="2" t="s">
        <v>50</v>
      </c>
      <c r="M359" s="4" t="str">
        <f t="shared" si="10"/>
        <v>Voluntary</v>
      </c>
      <c r="N359" s="23" t="s">
        <v>26</v>
      </c>
    </row>
    <row r="360" spans="1:14" x14ac:dyDescent="0.25">
      <c r="A360" s="22">
        <v>2767</v>
      </c>
      <c r="B360" s="3">
        <v>41940</v>
      </c>
      <c r="C360" s="3">
        <v>44153</v>
      </c>
      <c r="D360" s="2">
        <f t="shared" si="11"/>
        <v>6</v>
      </c>
      <c r="E360" s="4" t="str" cm="1">
        <f t="array" ref="E360">_xlfn.IFS(
D360&lt;=5,"Newcomer",
D360&lt;=10,"Proficient",
D360&gt;10,"Expert"
)</f>
        <v>Proficient</v>
      </c>
      <c r="F360" s="2" t="s">
        <v>104</v>
      </c>
      <c r="G360" s="5" t="s">
        <v>47</v>
      </c>
      <c r="H360" s="5" t="s">
        <v>95</v>
      </c>
      <c r="I360" s="2">
        <v>39</v>
      </c>
      <c r="J360" s="2" t="s">
        <v>17</v>
      </c>
      <c r="K360" s="2" t="s">
        <v>18</v>
      </c>
      <c r="L360" s="2" t="s">
        <v>96</v>
      </c>
      <c r="M360" s="4" t="str">
        <f t="shared" si="10"/>
        <v>Involuntary</v>
      </c>
      <c r="N360" s="23" t="s">
        <v>26</v>
      </c>
    </row>
    <row r="361" spans="1:14" x14ac:dyDescent="0.25">
      <c r="A361" s="22">
        <v>2778</v>
      </c>
      <c r="B361" s="3">
        <v>35184</v>
      </c>
      <c r="C361" s="3">
        <v>43857</v>
      </c>
      <c r="D361" s="2">
        <f t="shared" si="11"/>
        <v>24</v>
      </c>
      <c r="E361" s="4" t="str" cm="1">
        <f t="array" ref="E361">_xlfn.IFS(
D361&lt;=5,"Newcomer",
D361&lt;=10,"Proficient",
D361&gt;10,"Expert"
)</f>
        <v>Expert</v>
      </c>
      <c r="F361" s="2" t="s">
        <v>49</v>
      </c>
      <c r="G361" s="5" t="s">
        <v>35</v>
      </c>
      <c r="H361" s="5" t="s">
        <v>76</v>
      </c>
      <c r="I361" s="2">
        <v>12</v>
      </c>
      <c r="J361" s="2" t="s">
        <v>24</v>
      </c>
      <c r="K361" s="2" t="s">
        <v>25</v>
      </c>
      <c r="L361" s="2" t="s">
        <v>19</v>
      </c>
      <c r="M361" s="4" t="str">
        <f t="shared" si="10"/>
        <v>Voluntary</v>
      </c>
      <c r="N361" s="23" t="s">
        <v>26</v>
      </c>
    </row>
    <row r="362" spans="1:14" x14ac:dyDescent="0.25">
      <c r="A362" s="22">
        <v>2782</v>
      </c>
      <c r="B362" s="3">
        <v>41010</v>
      </c>
      <c r="C362" s="3">
        <v>44043</v>
      </c>
      <c r="D362" s="2">
        <f t="shared" si="11"/>
        <v>8</v>
      </c>
      <c r="E362" s="4" t="str" cm="1">
        <f t="array" ref="E362">_xlfn.IFS(
D362&lt;=5,"Newcomer",
D362&lt;=10,"Proficient",
D362&gt;10,"Expert"
)</f>
        <v>Proficient</v>
      </c>
      <c r="F362" s="2" t="s">
        <v>66</v>
      </c>
      <c r="G362" s="5" t="s">
        <v>42</v>
      </c>
      <c r="H362" s="5" t="s">
        <v>105</v>
      </c>
      <c r="I362" s="2">
        <v>36</v>
      </c>
      <c r="J362" s="2" t="s">
        <v>24</v>
      </c>
      <c r="K362" s="2" t="s">
        <v>25</v>
      </c>
      <c r="L362" s="2" t="s">
        <v>19</v>
      </c>
      <c r="M362" s="4" t="str">
        <f t="shared" si="10"/>
        <v>Voluntary</v>
      </c>
      <c r="N362" s="23" t="s">
        <v>26</v>
      </c>
    </row>
    <row r="363" spans="1:14" x14ac:dyDescent="0.25">
      <c r="A363" s="22">
        <v>2784</v>
      </c>
      <c r="B363" s="3">
        <v>40768</v>
      </c>
      <c r="C363" s="3">
        <v>44102</v>
      </c>
      <c r="D363" s="2">
        <f t="shared" si="11"/>
        <v>9</v>
      </c>
      <c r="E363" s="4" t="str" cm="1">
        <f t="array" ref="E363">_xlfn.IFS(
D363&lt;=5,"Newcomer",
D363&lt;=10,"Proficient",
D363&gt;10,"Expert"
)</f>
        <v>Proficient</v>
      </c>
      <c r="F363" s="2" t="s">
        <v>109</v>
      </c>
      <c r="G363" s="5" t="s">
        <v>35</v>
      </c>
      <c r="H363" s="5" t="s">
        <v>76</v>
      </c>
      <c r="I363" s="2">
        <v>22</v>
      </c>
      <c r="J363" s="2" t="s">
        <v>17</v>
      </c>
      <c r="K363" s="2" t="s">
        <v>18</v>
      </c>
      <c r="L363" s="2" t="s">
        <v>50</v>
      </c>
      <c r="M363" s="4" t="str">
        <f t="shared" si="10"/>
        <v>Voluntary</v>
      </c>
      <c r="N363" s="23" t="s">
        <v>26</v>
      </c>
    </row>
    <row r="364" spans="1:14" x14ac:dyDescent="0.25">
      <c r="A364" s="22">
        <v>2800</v>
      </c>
      <c r="B364" s="3">
        <v>34289</v>
      </c>
      <c r="C364" s="3">
        <v>44083</v>
      </c>
      <c r="D364" s="2">
        <f t="shared" si="11"/>
        <v>27</v>
      </c>
      <c r="E364" s="4" t="str" cm="1">
        <f t="array" ref="E364">_xlfn.IFS(
D364&lt;=5,"Newcomer",
D364&lt;=10,"Proficient",
D364&gt;10,"Expert"
)</f>
        <v>Expert</v>
      </c>
      <c r="F364" s="2" t="s">
        <v>90</v>
      </c>
      <c r="G364" s="5" t="s">
        <v>35</v>
      </c>
      <c r="H364" s="5" t="s">
        <v>76</v>
      </c>
      <c r="I364" s="2">
        <v>26</v>
      </c>
      <c r="J364" s="2" t="s">
        <v>24</v>
      </c>
      <c r="K364" s="2" t="s">
        <v>25</v>
      </c>
      <c r="L364" s="2" t="s">
        <v>19</v>
      </c>
      <c r="M364" s="4" t="str">
        <f t="shared" si="10"/>
        <v>Voluntary</v>
      </c>
      <c r="N364" s="23" t="s">
        <v>26</v>
      </c>
    </row>
    <row r="365" spans="1:14" x14ac:dyDescent="0.25">
      <c r="A365" s="22">
        <v>2806</v>
      </c>
      <c r="B365" s="3">
        <v>34927</v>
      </c>
      <c r="C365" s="3">
        <v>44050</v>
      </c>
      <c r="D365" s="2">
        <f t="shared" si="11"/>
        <v>25</v>
      </c>
      <c r="E365" s="4" t="str" cm="1">
        <f t="array" ref="E365">_xlfn.IFS(
D365&lt;=5,"Newcomer",
D365&lt;=10,"Proficient",
D365&gt;10,"Expert"
)</f>
        <v>Expert</v>
      </c>
      <c r="F365" s="2" t="s">
        <v>30</v>
      </c>
      <c r="G365" s="5" t="s">
        <v>35</v>
      </c>
      <c r="H365" s="5" t="s">
        <v>76</v>
      </c>
      <c r="I365" s="2">
        <v>37</v>
      </c>
      <c r="J365" s="2" t="s">
        <v>24</v>
      </c>
      <c r="K365" s="2" t="s">
        <v>25</v>
      </c>
      <c r="L365" s="2" t="s">
        <v>19</v>
      </c>
      <c r="M365" s="4" t="str">
        <f t="shared" si="10"/>
        <v>Voluntary</v>
      </c>
      <c r="N365" s="23" t="s">
        <v>26</v>
      </c>
    </row>
    <row r="366" spans="1:14" x14ac:dyDescent="0.25">
      <c r="A366" s="22">
        <v>2813</v>
      </c>
      <c r="B366" s="3">
        <v>32992</v>
      </c>
      <c r="C366" s="3">
        <v>43849</v>
      </c>
      <c r="D366" s="2">
        <f t="shared" si="11"/>
        <v>30</v>
      </c>
      <c r="E366" s="4" t="str" cm="1">
        <f t="array" ref="E366">_xlfn.IFS(
D366&lt;=5,"Newcomer",
D366&lt;=10,"Proficient",
D366&gt;10,"Expert"
)</f>
        <v>Expert</v>
      </c>
      <c r="F366" s="2" t="s">
        <v>14</v>
      </c>
      <c r="G366" s="5" t="s">
        <v>62</v>
      </c>
      <c r="H366" s="5" t="s">
        <v>63</v>
      </c>
      <c r="I366" s="2">
        <v>35</v>
      </c>
      <c r="J366" s="2" t="s">
        <v>24</v>
      </c>
      <c r="K366" s="2" t="s">
        <v>25</v>
      </c>
      <c r="L366" s="2" t="s">
        <v>19</v>
      </c>
      <c r="M366" s="4" t="str">
        <f t="shared" si="10"/>
        <v>Voluntary</v>
      </c>
      <c r="N366" s="23" t="s">
        <v>26</v>
      </c>
    </row>
    <row r="367" spans="1:14" x14ac:dyDescent="0.25">
      <c r="A367" s="22">
        <v>2816</v>
      </c>
      <c r="B367" s="3">
        <v>32986</v>
      </c>
      <c r="C367" s="3">
        <v>44051</v>
      </c>
      <c r="D367" s="2">
        <f t="shared" si="11"/>
        <v>30</v>
      </c>
      <c r="E367" s="4" t="str" cm="1">
        <f t="array" ref="E367">_xlfn.IFS(
D367&lt;=5,"Newcomer",
D367&lt;=10,"Proficient",
D367&gt;10,"Expert"
)</f>
        <v>Expert</v>
      </c>
      <c r="F367" s="2" t="s">
        <v>111</v>
      </c>
      <c r="G367" s="5" t="s">
        <v>62</v>
      </c>
      <c r="H367" s="5" t="s">
        <v>63</v>
      </c>
      <c r="I367" s="2">
        <v>23</v>
      </c>
      <c r="J367" s="2" t="s">
        <v>24</v>
      </c>
      <c r="K367" s="2" t="s">
        <v>25</v>
      </c>
      <c r="L367" s="2" t="s">
        <v>96</v>
      </c>
      <c r="M367" s="4" t="str">
        <f t="shared" si="10"/>
        <v>Involuntary</v>
      </c>
      <c r="N367" s="23" t="s">
        <v>26</v>
      </c>
    </row>
    <row r="368" spans="1:14" x14ac:dyDescent="0.25">
      <c r="A368" s="22">
        <v>2819</v>
      </c>
      <c r="B368" s="3">
        <v>40343</v>
      </c>
      <c r="C368" s="3">
        <v>43862</v>
      </c>
      <c r="D368" s="2">
        <f t="shared" si="11"/>
        <v>10</v>
      </c>
      <c r="E368" s="4" t="str" cm="1">
        <f t="array" ref="E368">_xlfn.IFS(
D368&lt;=5,"Newcomer",
D368&lt;=10,"Proficient",
D368&gt;10,"Expert"
)</f>
        <v>Proficient</v>
      </c>
      <c r="F368" s="2" t="s">
        <v>86</v>
      </c>
      <c r="G368" s="5" t="s">
        <v>35</v>
      </c>
      <c r="H368" s="5" t="s">
        <v>76</v>
      </c>
      <c r="I368" s="2">
        <v>8</v>
      </c>
      <c r="J368" s="2" t="s">
        <v>24</v>
      </c>
      <c r="K368" s="2" t="s">
        <v>25</v>
      </c>
      <c r="L368" s="2" t="s">
        <v>19</v>
      </c>
      <c r="M368" s="4" t="str">
        <f t="shared" si="10"/>
        <v>Voluntary</v>
      </c>
      <c r="N368" s="23" t="s">
        <v>26</v>
      </c>
    </row>
    <row r="369" spans="1:14" x14ac:dyDescent="0.25">
      <c r="A369" s="22">
        <v>2824</v>
      </c>
      <c r="B369" s="3">
        <v>37710</v>
      </c>
      <c r="C369" s="3">
        <v>44100</v>
      </c>
      <c r="D369" s="2">
        <f t="shared" si="11"/>
        <v>17</v>
      </c>
      <c r="E369" s="4" t="str" cm="1">
        <f t="array" ref="E369">_xlfn.IFS(
D369&lt;=5,"Newcomer",
D369&lt;=10,"Proficient",
D369&gt;10,"Expert"
)</f>
        <v>Expert</v>
      </c>
      <c r="F369" s="2" t="s">
        <v>41</v>
      </c>
      <c r="G369" s="5" t="s">
        <v>35</v>
      </c>
      <c r="H369" s="5" t="s">
        <v>76</v>
      </c>
      <c r="I369" s="2">
        <v>15</v>
      </c>
      <c r="J369" s="2" t="s">
        <v>24</v>
      </c>
      <c r="K369" s="2" t="s">
        <v>25</v>
      </c>
      <c r="L369" s="2" t="s">
        <v>19</v>
      </c>
      <c r="M369" s="4" t="str">
        <f t="shared" si="10"/>
        <v>Voluntary</v>
      </c>
      <c r="N369" s="23" t="s">
        <v>26</v>
      </c>
    </row>
    <row r="370" spans="1:14" x14ac:dyDescent="0.25">
      <c r="A370" s="22">
        <v>2827</v>
      </c>
      <c r="B370" s="3">
        <v>39982</v>
      </c>
      <c r="C370" s="3">
        <v>44170</v>
      </c>
      <c r="D370" s="2">
        <f t="shared" si="11"/>
        <v>11</v>
      </c>
      <c r="E370" s="4" t="str" cm="1">
        <f t="array" ref="E370">_xlfn.IFS(
D370&lt;=5,"Newcomer",
D370&lt;=10,"Proficient",
D370&gt;10,"Expert"
)</f>
        <v>Expert</v>
      </c>
      <c r="F370" s="2" t="s">
        <v>89</v>
      </c>
      <c r="G370" s="5" t="s">
        <v>35</v>
      </c>
      <c r="H370" s="5" t="s">
        <v>76</v>
      </c>
      <c r="I370" s="2">
        <v>33</v>
      </c>
      <c r="J370" s="2" t="s">
        <v>24</v>
      </c>
      <c r="K370" s="2" t="s">
        <v>25</v>
      </c>
      <c r="L370" s="2" t="s">
        <v>19</v>
      </c>
      <c r="M370" s="4" t="str">
        <f t="shared" si="10"/>
        <v>Voluntary</v>
      </c>
      <c r="N370" s="23" t="s">
        <v>26</v>
      </c>
    </row>
    <row r="371" spans="1:14" x14ac:dyDescent="0.25">
      <c r="A371" s="22">
        <v>2845</v>
      </c>
      <c r="B371" s="3">
        <v>36125</v>
      </c>
      <c r="C371" s="3">
        <v>43933</v>
      </c>
      <c r="D371" s="2">
        <f t="shared" si="11"/>
        <v>22</v>
      </c>
      <c r="E371" s="4" t="str" cm="1">
        <f t="array" ref="E371">_xlfn.IFS(
D371&lt;=5,"Newcomer",
D371&lt;=10,"Proficient",
D371&gt;10,"Expert"
)</f>
        <v>Expert</v>
      </c>
      <c r="F371" s="2" t="s">
        <v>69</v>
      </c>
      <c r="G371" s="5" t="s">
        <v>62</v>
      </c>
      <c r="H371" s="5" t="s">
        <v>63</v>
      </c>
      <c r="I371" s="2">
        <v>28</v>
      </c>
      <c r="J371" s="2" t="s">
        <v>24</v>
      </c>
      <c r="K371" s="2" t="s">
        <v>25</v>
      </c>
      <c r="L371" s="2" t="s">
        <v>19</v>
      </c>
      <c r="M371" s="4" t="str">
        <f t="shared" si="10"/>
        <v>Voluntary</v>
      </c>
      <c r="N371" s="23" t="s">
        <v>26</v>
      </c>
    </row>
    <row r="372" spans="1:14" x14ac:dyDescent="0.25">
      <c r="A372" s="22">
        <v>2851</v>
      </c>
      <c r="B372" s="3">
        <v>35393</v>
      </c>
      <c r="C372" s="3">
        <v>44073</v>
      </c>
      <c r="D372" s="2">
        <f t="shared" si="11"/>
        <v>24</v>
      </c>
      <c r="E372" s="4" t="str" cm="1">
        <f t="array" ref="E372">_xlfn.IFS(
D372&lt;=5,"Newcomer",
D372&lt;=10,"Proficient",
D372&gt;10,"Expert"
)</f>
        <v>Expert</v>
      </c>
      <c r="F372" s="2" t="s">
        <v>109</v>
      </c>
      <c r="G372" s="5" t="s">
        <v>35</v>
      </c>
      <c r="H372" s="5" t="s">
        <v>76</v>
      </c>
      <c r="I372" s="2">
        <v>22</v>
      </c>
      <c r="J372" s="2" t="s">
        <v>17</v>
      </c>
      <c r="K372" s="2" t="s">
        <v>18</v>
      </c>
      <c r="L372" s="2" t="s">
        <v>50</v>
      </c>
      <c r="M372" s="4" t="str">
        <f t="shared" si="10"/>
        <v>Voluntary</v>
      </c>
      <c r="N372" s="23" t="s">
        <v>26</v>
      </c>
    </row>
    <row r="373" spans="1:14" x14ac:dyDescent="0.25">
      <c r="A373" s="22">
        <v>2853</v>
      </c>
      <c r="B373" s="3">
        <v>35206</v>
      </c>
      <c r="C373" s="3">
        <v>44178</v>
      </c>
      <c r="D373" s="2">
        <f t="shared" si="11"/>
        <v>24</v>
      </c>
      <c r="E373" s="4" t="str" cm="1">
        <f t="array" ref="E373">_xlfn.IFS(
D373&lt;=5,"Newcomer",
D373&lt;=10,"Proficient",
D373&gt;10,"Expert"
)</f>
        <v>Expert</v>
      </c>
      <c r="F373" s="2" t="s">
        <v>14</v>
      </c>
      <c r="G373" s="5" t="s">
        <v>62</v>
      </c>
      <c r="H373" s="5" t="s">
        <v>63</v>
      </c>
      <c r="I373" s="2">
        <v>35</v>
      </c>
      <c r="J373" s="2" t="s">
        <v>24</v>
      </c>
      <c r="K373" s="2" t="s">
        <v>25</v>
      </c>
      <c r="L373" s="2" t="s">
        <v>19</v>
      </c>
      <c r="M373" s="4" t="str">
        <f t="shared" si="10"/>
        <v>Voluntary</v>
      </c>
      <c r="N373" s="23" t="s">
        <v>26</v>
      </c>
    </row>
    <row r="374" spans="1:14" x14ac:dyDescent="0.25">
      <c r="A374" s="22">
        <v>2862</v>
      </c>
      <c r="B374" s="3">
        <v>35348</v>
      </c>
      <c r="C374" s="3">
        <v>44025</v>
      </c>
      <c r="D374" s="2">
        <f t="shared" si="11"/>
        <v>24</v>
      </c>
      <c r="E374" s="4" t="str" cm="1">
        <f t="array" ref="E374">_xlfn.IFS(
D374&lt;=5,"Newcomer",
D374&lt;=10,"Proficient",
D374&gt;10,"Expert"
)</f>
        <v>Expert</v>
      </c>
      <c r="F374" s="2" t="s">
        <v>27</v>
      </c>
      <c r="G374" s="5" t="s">
        <v>35</v>
      </c>
      <c r="H374" s="5" t="s">
        <v>76</v>
      </c>
      <c r="I374" s="2">
        <v>16</v>
      </c>
      <c r="J374" s="2" t="s">
        <v>24</v>
      </c>
      <c r="K374" s="2" t="s">
        <v>25</v>
      </c>
      <c r="L374" s="2" t="s">
        <v>19</v>
      </c>
      <c r="M374" s="4" t="str">
        <f t="shared" si="10"/>
        <v>Voluntary</v>
      </c>
      <c r="N374" s="23" t="s">
        <v>26</v>
      </c>
    </row>
    <row r="375" spans="1:14" x14ac:dyDescent="0.25">
      <c r="A375" s="22">
        <v>2865</v>
      </c>
      <c r="B375" s="3">
        <v>36022</v>
      </c>
      <c r="C375" s="3">
        <v>44059</v>
      </c>
      <c r="D375" s="2">
        <f t="shared" si="11"/>
        <v>22</v>
      </c>
      <c r="E375" s="4" t="str" cm="1">
        <f t="array" ref="E375">_xlfn.IFS(
D375&lt;=5,"Newcomer",
D375&lt;=10,"Proficient",
D375&gt;10,"Expert"
)</f>
        <v>Expert</v>
      </c>
      <c r="F375" s="2" t="s">
        <v>14</v>
      </c>
      <c r="G375" s="5" t="s">
        <v>62</v>
      </c>
      <c r="H375" s="5" t="s">
        <v>63</v>
      </c>
      <c r="I375" s="2">
        <v>35</v>
      </c>
      <c r="J375" s="2" t="s">
        <v>24</v>
      </c>
      <c r="K375" s="2" t="s">
        <v>25</v>
      </c>
      <c r="L375" s="2" t="s">
        <v>19</v>
      </c>
      <c r="M375" s="4" t="str">
        <f t="shared" si="10"/>
        <v>Voluntary</v>
      </c>
      <c r="N375" s="23" t="s">
        <v>26</v>
      </c>
    </row>
    <row r="376" spans="1:14" x14ac:dyDescent="0.25">
      <c r="A376" s="22">
        <v>2871</v>
      </c>
      <c r="B376" s="3">
        <v>37501</v>
      </c>
      <c r="C376" s="3">
        <v>43940</v>
      </c>
      <c r="D376" s="2">
        <f t="shared" si="11"/>
        <v>18</v>
      </c>
      <c r="E376" s="4" t="str" cm="1">
        <f t="array" ref="E376">_xlfn.IFS(
D376&lt;=5,"Newcomer",
D376&lt;=10,"Proficient",
D376&gt;10,"Expert"
)</f>
        <v>Expert</v>
      </c>
      <c r="F376" s="2" t="s">
        <v>89</v>
      </c>
      <c r="G376" s="5" t="s">
        <v>35</v>
      </c>
      <c r="H376" s="5" t="s">
        <v>76</v>
      </c>
      <c r="I376" s="2">
        <v>33</v>
      </c>
      <c r="J376" s="2" t="s">
        <v>24</v>
      </c>
      <c r="K376" s="2" t="s">
        <v>25</v>
      </c>
      <c r="L376" s="2" t="s">
        <v>19</v>
      </c>
      <c r="M376" s="4" t="str">
        <f t="shared" si="10"/>
        <v>Voluntary</v>
      </c>
      <c r="N376" s="23" t="s">
        <v>26</v>
      </c>
    </row>
    <row r="377" spans="1:14" x14ac:dyDescent="0.25">
      <c r="A377" s="22">
        <v>2873</v>
      </c>
      <c r="B377" s="3">
        <v>34878</v>
      </c>
      <c r="C377" s="3">
        <v>43838</v>
      </c>
      <c r="D377" s="2">
        <f t="shared" si="11"/>
        <v>25</v>
      </c>
      <c r="E377" s="4" t="str" cm="1">
        <f t="array" ref="E377">_xlfn.IFS(
D377&lt;=5,"Newcomer",
D377&lt;=10,"Proficient",
D377&gt;10,"Expert"
)</f>
        <v>Expert</v>
      </c>
      <c r="F377" s="2" t="s">
        <v>30</v>
      </c>
      <c r="G377" s="5" t="s">
        <v>35</v>
      </c>
      <c r="H377" s="5" t="s">
        <v>76</v>
      </c>
      <c r="I377" s="2">
        <v>46</v>
      </c>
      <c r="J377" s="2" t="s">
        <v>17</v>
      </c>
      <c r="K377" s="2" t="s">
        <v>18</v>
      </c>
      <c r="L377" s="2" t="s">
        <v>50</v>
      </c>
      <c r="M377" s="4" t="str">
        <f t="shared" si="10"/>
        <v>Voluntary</v>
      </c>
      <c r="N377" s="23" t="s">
        <v>26</v>
      </c>
    </row>
    <row r="378" spans="1:14" x14ac:dyDescent="0.25">
      <c r="A378" s="22">
        <v>2877</v>
      </c>
      <c r="B378" s="3">
        <v>41100</v>
      </c>
      <c r="C378" s="3">
        <v>44160</v>
      </c>
      <c r="D378" s="2">
        <f t="shared" si="11"/>
        <v>8</v>
      </c>
      <c r="E378" s="4" t="str" cm="1">
        <f t="array" ref="E378">_xlfn.IFS(
D378&lt;=5,"Newcomer",
D378&lt;=10,"Proficient",
D378&gt;10,"Expert"
)</f>
        <v>Proficient</v>
      </c>
      <c r="F378" s="2" t="s">
        <v>91</v>
      </c>
      <c r="G378" s="5" t="s">
        <v>35</v>
      </c>
      <c r="H378" s="5" t="s">
        <v>76</v>
      </c>
      <c r="I378" s="2">
        <v>29</v>
      </c>
      <c r="J378" s="2" t="s">
        <v>24</v>
      </c>
      <c r="K378" s="2" t="s">
        <v>25</v>
      </c>
      <c r="L378" s="2" t="s">
        <v>19</v>
      </c>
      <c r="M378" s="4" t="str">
        <f t="shared" si="10"/>
        <v>Voluntary</v>
      </c>
      <c r="N378" s="23" t="s">
        <v>26</v>
      </c>
    </row>
    <row r="379" spans="1:14" x14ac:dyDescent="0.25">
      <c r="A379" s="22">
        <v>2887</v>
      </c>
      <c r="B379" s="3">
        <v>35151</v>
      </c>
      <c r="C379" s="3">
        <v>43986</v>
      </c>
      <c r="D379" s="2">
        <f t="shared" si="11"/>
        <v>24</v>
      </c>
      <c r="E379" s="4" t="str" cm="1">
        <f t="array" ref="E379">_xlfn.IFS(
D379&lt;=5,"Newcomer",
D379&lt;=10,"Proficient",
D379&gt;10,"Expert"
)</f>
        <v>Expert</v>
      </c>
      <c r="F379" s="2" t="s">
        <v>111</v>
      </c>
      <c r="G379" s="5" t="s">
        <v>62</v>
      </c>
      <c r="H379" s="5" t="s">
        <v>63</v>
      </c>
      <c r="I379" s="2">
        <v>23</v>
      </c>
      <c r="J379" s="2" t="s">
        <v>24</v>
      </c>
      <c r="K379" s="2" t="s">
        <v>25</v>
      </c>
      <c r="L379" s="2" t="s">
        <v>96</v>
      </c>
      <c r="M379" s="4" t="str">
        <f t="shared" si="10"/>
        <v>Involuntary</v>
      </c>
      <c r="N379" s="23" t="s">
        <v>26</v>
      </c>
    </row>
    <row r="380" spans="1:14" x14ac:dyDescent="0.25">
      <c r="A380" s="22">
        <v>2893</v>
      </c>
      <c r="B380" s="3">
        <v>40705</v>
      </c>
      <c r="C380" s="3">
        <v>43877</v>
      </c>
      <c r="D380" s="2">
        <f t="shared" si="11"/>
        <v>9</v>
      </c>
      <c r="E380" s="4" t="str" cm="1">
        <f t="array" ref="E380">_xlfn.IFS(
D380&lt;=5,"Newcomer",
D380&lt;=10,"Proficient",
D380&gt;10,"Expert"
)</f>
        <v>Proficient</v>
      </c>
      <c r="F380" s="2" t="s">
        <v>44</v>
      </c>
      <c r="G380" s="5" t="s">
        <v>35</v>
      </c>
      <c r="H380" s="5" t="s">
        <v>76</v>
      </c>
      <c r="I380" s="2">
        <v>18</v>
      </c>
      <c r="J380" s="2" t="s">
        <v>24</v>
      </c>
      <c r="K380" s="2" t="s">
        <v>25</v>
      </c>
      <c r="L380" s="2" t="s">
        <v>19</v>
      </c>
      <c r="M380" s="4" t="str">
        <f t="shared" si="10"/>
        <v>Voluntary</v>
      </c>
      <c r="N380" s="23" t="s">
        <v>26</v>
      </c>
    </row>
    <row r="381" spans="1:14" x14ac:dyDescent="0.25">
      <c r="A381" s="22">
        <v>2894</v>
      </c>
      <c r="B381" s="3">
        <v>39036</v>
      </c>
      <c r="C381" s="3">
        <v>44048</v>
      </c>
      <c r="D381" s="2">
        <f t="shared" si="11"/>
        <v>14</v>
      </c>
      <c r="E381" s="4" t="str" cm="1">
        <f t="array" ref="E381">_xlfn.IFS(
D381&lt;=5,"Newcomer",
D381&lt;=10,"Proficient",
D381&gt;10,"Expert"
)</f>
        <v>Expert</v>
      </c>
      <c r="F381" s="2" t="s">
        <v>30</v>
      </c>
      <c r="G381" s="5" t="s">
        <v>42</v>
      </c>
      <c r="H381" s="5" t="s">
        <v>105</v>
      </c>
      <c r="I381" s="2">
        <v>46</v>
      </c>
      <c r="J381" s="2" t="s">
        <v>24</v>
      </c>
      <c r="K381" s="2" t="s">
        <v>25</v>
      </c>
      <c r="L381" s="2" t="s">
        <v>50</v>
      </c>
      <c r="M381" s="4" t="str">
        <f t="shared" si="10"/>
        <v>Voluntary</v>
      </c>
      <c r="N381" s="23" t="s">
        <v>26</v>
      </c>
    </row>
    <row r="382" spans="1:14" x14ac:dyDescent="0.25">
      <c r="A382" s="22">
        <v>2895</v>
      </c>
      <c r="B382" s="3">
        <v>35291</v>
      </c>
      <c r="C382" s="3">
        <v>43952</v>
      </c>
      <c r="D382" s="2">
        <f t="shared" si="11"/>
        <v>24</v>
      </c>
      <c r="E382" s="4" t="str" cm="1">
        <f t="array" ref="E382">_xlfn.IFS(
D382&lt;=5,"Newcomer",
D382&lt;=10,"Proficient",
D382&gt;10,"Expert"
)</f>
        <v>Expert</v>
      </c>
      <c r="F382" s="2" t="s">
        <v>14</v>
      </c>
      <c r="G382" s="5" t="s">
        <v>62</v>
      </c>
      <c r="H382" s="5" t="s">
        <v>63</v>
      </c>
      <c r="I382" s="2">
        <v>35</v>
      </c>
      <c r="J382" s="2" t="s">
        <v>24</v>
      </c>
      <c r="K382" s="2" t="s">
        <v>25</v>
      </c>
      <c r="L382" s="2" t="s">
        <v>19</v>
      </c>
      <c r="M382" s="4" t="str">
        <f t="shared" si="10"/>
        <v>Voluntary</v>
      </c>
      <c r="N382" s="23" t="s">
        <v>26</v>
      </c>
    </row>
    <row r="383" spans="1:14" x14ac:dyDescent="0.25">
      <c r="A383" s="22">
        <v>2900</v>
      </c>
      <c r="B383" s="3">
        <v>37952</v>
      </c>
      <c r="C383" s="3">
        <v>44133</v>
      </c>
      <c r="D383" s="2">
        <f t="shared" si="11"/>
        <v>17</v>
      </c>
      <c r="E383" s="4" t="str" cm="1">
        <f t="array" ref="E383">_xlfn.IFS(
D383&lt;=5,"Newcomer",
D383&lt;=10,"Proficient",
D383&gt;10,"Expert"
)</f>
        <v>Expert</v>
      </c>
      <c r="F383" s="2" t="s">
        <v>14</v>
      </c>
      <c r="G383" s="5" t="s">
        <v>62</v>
      </c>
      <c r="H383" s="5" t="s">
        <v>63</v>
      </c>
      <c r="I383" s="2">
        <v>35</v>
      </c>
      <c r="J383" s="2" t="s">
        <v>24</v>
      </c>
      <c r="K383" s="2" t="s">
        <v>25</v>
      </c>
      <c r="L383" s="2" t="s">
        <v>19</v>
      </c>
      <c r="M383" s="4" t="str">
        <f t="shared" si="10"/>
        <v>Voluntary</v>
      </c>
      <c r="N383" s="23" t="s">
        <v>26</v>
      </c>
    </row>
    <row r="384" spans="1:14" x14ac:dyDescent="0.25">
      <c r="A384" s="22">
        <v>2907</v>
      </c>
      <c r="B384" s="3">
        <v>37380</v>
      </c>
      <c r="C384" s="3">
        <v>43842</v>
      </c>
      <c r="D384" s="2">
        <f t="shared" si="11"/>
        <v>18</v>
      </c>
      <c r="E384" s="4" t="str" cm="1">
        <f t="array" ref="E384">_xlfn.IFS(
D384&lt;=5,"Newcomer",
D384&lt;=10,"Proficient",
D384&gt;10,"Expert"
)</f>
        <v>Expert</v>
      </c>
      <c r="F384" s="2" t="s">
        <v>90</v>
      </c>
      <c r="G384" s="5" t="s">
        <v>35</v>
      </c>
      <c r="H384" s="5" t="s">
        <v>76</v>
      </c>
      <c r="I384" s="2">
        <v>26</v>
      </c>
      <c r="J384" s="2" t="s">
        <v>24</v>
      </c>
      <c r="K384" s="2" t="s">
        <v>25</v>
      </c>
      <c r="L384" s="2" t="s">
        <v>19</v>
      </c>
      <c r="M384" s="4" t="str">
        <f t="shared" si="10"/>
        <v>Voluntary</v>
      </c>
      <c r="N384" s="23" t="s">
        <v>26</v>
      </c>
    </row>
    <row r="385" spans="1:14" x14ac:dyDescent="0.25">
      <c r="A385" s="22">
        <v>2910</v>
      </c>
      <c r="B385" s="3">
        <v>33836</v>
      </c>
      <c r="C385" s="3">
        <v>44150</v>
      </c>
      <c r="D385" s="2">
        <f t="shared" si="11"/>
        <v>28</v>
      </c>
      <c r="E385" s="4" t="str" cm="1">
        <f t="array" ref="E385">_xlfn.IFS(
D385&lt;=5,"Newcomer",
D385&lt;=10,"Proficient",
D385&gt;10,"Expert"
)</f>
        <v>Expert</v>
      </c>
      <c r="F385" s="2" t="s">
        <v>30</v>
      </c>
      <c r="G385" s="5" t="s">
        <v>35</v>
      </c>
      <c r="H385" s="5" t="s">
        <v>76</v>
      </c>
      <c r="I385" s="2">
        <v>37</v>
      </c>
      <c r="J385" s="2" t="s">
        <v>24</v>
      </c>
      <c r="K385" s="2" t="s">
        <v>25</v>
      </c>
      <c r="L385" s="2" t="s">
        <v>19</v>
      </c>
      <c r="M385" s="4" t="str">
        <f t="shared" si="10"/>
        <v>Voluntary</v>
      </c>
      <c r="N385" s="23" t="s">
        <v>26</v>
      </c>
    </row>
    <row r="386" spans="1:14" x14ac:dyDescent="0.25">
      <c r="A386" s="22">
        <v>2913</v>
      </c>
      <c r="B386" s="3">
        <v>38964</v>
      </c>
      <c r="C386" s="3">
        <v>43831</v>
      </c>
      <c r="D386" s="2">
        <f t="shared" si="11"/>
        <v>14</v>
      </c>
      <c r="E386" s="4" t="str" cm="1">
        <f t="array" ref="E386">_xlfn.IFS(
D386&lt;=5,"Newcomer",
D386&lt;=10,"Proficient",
D386&gt;10,"Expert"
)</f>
        <v>Expert</v>
      </c>
      <c r="F386" s="2" t="s">
        <v>30</v>
      </c>
      <c r="G386" s="5" t="s">
        <v>35</v>
      </c>
      <c r="H386" s="5" t="s">
        <v>76</v>
      </c>
      <c r="I386" s="2">
        <v>37</v>
      </c>
      <c r="J386" s="2" t="s">
        <v>24</v>
      </c>
      <c r="K386" s="2" t="s">
        <v>25</v>
      </c>
      <c r="L386" s="2" t="s">
        <v>19</v>
      </c>
      <c r="M386" s="4" t="str">
        <f t="shared" ref="M386:M449" si="12">IF(OR(L386="Retirement",L386="Resignation"),"Voluntary","Involuntary")</f>
        <v>Voluntary</v>
      </c>
      <c r="N386" s="23" t="s">
        <v>26</v>
      </c>
    </row>
    <row r="387" spans="1:14" x14ac:dyDescent="0.25">
      <c r="A387" s="22">
        <v>2916</v>
      </c>
      <c r="B387" s="3">
        <v>34583</v>
      </c>
      <c r="C387" s="3">
        <v>44006</v>
      </c>
      <c r="D387" s="2">
        <f t="shared" ref="D387:D450" si="13">YEAR(C387)-YEAR(B387)</f>
        <v>26</v>
      </c>
      <c r="E387" s="4" t="str" cm="1">
        <f t="array" ref="E387">_xlfn.IFS(
D387&lt;=5,"Newcomer",
D387&lt;=10,"Proficient",
D387&gt;10,"Expert"
)</f>
        <v>Expert</v>
      </c>
      <c r="F387" s="2" t="s">
        <v>14</v>
      </c>
      <c r="G387" s="5" t="s">
        <v>62</v>
      </c>
      <c r="H387" s="5" t="s">
        <v>63</v>
      </c>
      <c r="I387" s="2">
        <v>35</v>
      </c>
      <c r="J387" s="2" t="s">
        <v>24</v>
      </c>
      <c r="K387" s="2" t="s">
        <v>25</v>
      </c>
      <c r="L387" s="2" t="s">
        <v>19</v>
      </c>
      <c r="M387" s="4" t="str">
        <f t="shared" si="12"/>
        <v>Voluntary</v>
      </c>
      <c r="N387" s="23" t="s">
        <v>26</v>
      </c>
    </row>
    <row r="388" spans="1:14" x14ac:dyDescent="0.25">
      <c r="A388" s="22">
        <v>2918</v>
      </c>
      <c r="B388" s="3">
        <v>33391</v>
      </c>
      <c r="C388" s="3">
        <v>43915</v>
      </c>
      <c r="D388" s="2">
        <f t="shared" si="13"/>
        <v>29</v>
      </c>
      <c r="E388" s="4" t="str" cm="1">
        <f t="array" ref="E388">_xlfn.IFS(
D388&lt;=5,"Newcomer",
D388&lt;=10,"Proficient",
D388&gt;10,"Expert"
)</f>
        <v>Expert</v>
      </c>
      <c r="F388" s="2" t="s">
        <v>91</v>
      </c>
      <c r="G388" s="5" t="s">
        <v>35</v>
      </c>
      <c r="H388" s="5" t="s">
        <v>76</v>
      </c>
      <c r="I388" s="2">
        <v>29</v>
      </c>
      <c r="J388" s="2" t="s">
        <v>24</v>
      </c>
      <c r="K388" s="2" t="s">
        <v>25</v>
      </c>
      <c r="L388" s="2" t="s">
        <v>19</v>
      </c>
      <c r="M388" s="4" t="str">
        <f t="shared" si="12"/>
        <v>Voluntary</v>
      </c>
      <c r="N388" s="23" t="s">
        <v>26</v>
      </c>
    </row>
    <row r="389" spans="1:14" x14ac:dyDescent="0.25">
      <c r="A389" s="22">
        <v>2919</v>
      </c>
      <c r="B389" s="3">
        <v>36099</v>
      </c>
      <c r="C389" s="3">
        <v>43844</v>
      </c>
      <c r="D389" s="2">
        <f t="shared" si="13"/>
        <v>22</v>
      </c>
      <c r="E389" s="4" t="str" cm="1">
        <f t="array" ref="E389">_xlfn.IFS(
D389&lt;=5,"Newcomer",
D389&lt;=10,"Proficient",
D389&gt;10,"Expert"
)</f>
        <v>Expert</v>
      </c>
      <c r="F389" s="2" t="s">
        <v>49</v>
      </c>
      <c r="G389" s="5" t="s">
        <v>35</v>
      </c>
      <c r="H389" s="5" t="s">
        <v>76</v>
      </c>
      <c r="I389" s="2">
        <v>12</v>
      </c>
      <c r="J389" s="2" t="s">
        <v>24</v>
      </c>
      <c r="K389" s="2" t="s">
        <v>25</v>
      </c>
      <c r="L389" s="2" t="s">
        <v>19</v>
      </c>
      <c r="M389" s="4" t="str">
        <f t="shared" si="12"/>
        <v>Voluntary</v>
      </c>
      <c r="N389" s="23" t="s">
        <v>26</v>
      </c>
    </row>
    <row r="390" spans="1:14" x14ac:dyDescent="0.25">
      <c r="A390" s="22">
        <v>2932</v>
      </c>
      <c r="B390" s="3">
        <v>37819</v>
      </c>
      <c r="C390" s="3">
        <v>43871</v>
      </c>
      <c r="D390" s="2">
        <f t="shared" si="13"/>
        <v>17</v>
      </c>
      <c r="E390" s="4" t="str" cm="1">
        <f t="array" ref="E390">_xlfn.IFS(
D390&lt;=5,"Newcomer",
D390&lt;=10,"Proficient",
D390&gt;10,"Expert"
)</f>
        <v>Expert</v>
      </c>
      <c r="F390" s="2" t="s">
        <v>91</v>
      </c>
      <c r="G390" s="5" t="s">
        <v>35</v>
      </c>
      <c r="H390" s="5" t="s">
        <v>76</v>
      </c>
      <c r="I390" s="2">
        <v>29</v>
      </c>
      <c r="J390" s="2" t="s">
        <v>24</v>
      </c>
      <c r="K390" s="2" t="s">
        <v>25</v>
      </c>
      <c r="L390" s="2" t="s">
        <v>19</v>
      </c>
      <c r="M390" s="4" t="str">
        <f t="shared" si="12"/>
        <v>Voluntary</v>
      </c>
      <c r="N390" s="23" t="s">
        <v>26</v>
      </c>
    </row>
    <row r="391" spans="1:14" x14ac:dyDescent="0.25">
      <c r="A391" s="22">
        <v>2935</v>
      </c>
      <c r="B391" s="3">
        <v>40618</v>
      </c>
      <c r="C391" s="3">
        <v>44194</v>
      </c>
      <c r="D391" s="2">
        <f t="shared" si="13"/>
        <v>9</v>
      </c>
      <c r="E391" s="4" t="str" cm="1">
        <f t="array" ref="E391">_xlfn.IFS(
D391&lt;=5,"Newcomer",
D391&lt;=10,"Proficient",
D391&gt;10,"Expert"
)</f>
        <v>Proficient</v>
      </c>
      <c r="F391" s="2" t="s">
        <v>41</v>
      </c>
      <c r="G391" s="5" t="s">
        <v>35</v>
      </c>
      <c r="H391" s="5" t="s">
        <v>76</v>
      </c>
      <c r="I391" s="2">
        <v>15</v>
      </c>
      <c r="J391" s="2" t="s">
        <v>24</v>
      </c>
      <c r="K391" s="2" t="s">
        <v>25</v>
      </c>
      <c r="L391" s="2" t="s">
        <v>50</v>
      </c>
      <c r="M391" s="4" t="str">
        <f t="shared" si="12"/>
        <v>Voluntary</v>
      </c>
      <c r="N391" s="23" t="s">
        <v>26</v>
      </c>
    </row>
    <row r="392" spans="1:14" x14ac:dyDescent="0.25">
      <c r="A392" s="22">
        <v>2937</v>
      </c>
      <c r="B392" s="3">
        <v>33682</v>
      </c>
      <c r="C392" s="3">
        <v>44156</v>
      </c>
      <c r="D392" s="2">
        <f t="shared" si="13"/>
        <v>28</v>
      </c>
      <c r="E392" s="4" t="str" cm="1">
        <f t="array" ref="E392">_xlfn.IFS(
D392&lt;=5,"Newcomer",
D392&lt;=10,"Proficient",
D392&gt;10,"Expert"
)</f>
        <v>Expert</v>
      </c>
      <c r="F392" s="2" t="s">
        <v>27</v>
      </c>
      <c r="G392" s="5" t="s">
        <v>35</v>
      </c>
      <c r="H392" s="5" t="s">
        <v>76</v>
      </c>
      <c r="I392" s="2">
        <v>16</v>
      </c>
      <c r="J392" s="2" t="s">
        <v>24</v>
      </c>
      <c r="K392" s="2" t="s">
        <v>25</v>
      </c>
      <c r="L392" s="2" t="s">
        <v>19</v>
      </c>
      <c r="M392" s="4" t="str">
        <f t="shared" si="12"/>
        <v>Voluntary</v>
      </c>
      <c r="N392" s="23" t="s">
        <v>26</v>
      </c>
    </row>
    <row r="393" spans="1:14" x14ac:dyDescent="0.25">
      <c r="A393" s="22">
        <v>2938</v>
      </c>
      <c r="B393" s="3">
        <v>37574</v>
      </c>
      <c r="C393" s="3">
        <v>43986</v>
      </c>
      <c r="D393" s="2">
        <f t="shared" si="13"/>
        <v>18</v>
      </c>
      <c r="E393" s="4" t="str" cm="1">
        <f t="array" ref="E393">_xlfn.IFS(
D393&lt;=5,"Newcomer",
D393&lt;=10,"Proficient",
D393&gt;10,"Expert"
)</f>
        <v>Expert</v>
      </c>
      <c r="F393" s="2" t="s">
        <v>41</v>
      </c>
      <c r="G393" s="5" t="s">
        <v>42</v>
      </c>
      <c r="H393" s="5" t="s">
        <v>105</v>
      </c>
      <c r="I393" s="2">
        <v>15</v>
      </c>
      <c r="J393" s="2" t="s">
        <v>24</v>
      </c>
      <c r="K393" s="2" t="s">
        <v>25</v>
      </c>
      <c r="L393" s="2" t="s">
        <v>19</v>
      </c>
      <c r="M393" s="4" t="str">
        <f t="shared" si="12"/>
        <v>Voluntary</v>
      </c>
      <c r="N393" s="23" t="s">
        <v>26</v>
      </c>
    </row>
    <row r="394" spans="1:14" x14ac:dyDescent="0.25">
      <c r="A394" s="22">
        <v>2941</v>
      </c>
      <c r="B394" s="3">
        <v>36399</v>
      </c>
      <c r="C394" s="3">
        <v>44167</v>
      </c>
      <c r="D394" s="2">
        <f t="shared" si="13"/>
        <v>21</v>
      </c>
      <c r="E394" s="4" t="str" cm="1">
        <f t="array" ref="E394">_xlfn.IFS(
D394&lt;=5,"Newcomer",
D394&lt;=10,"Proficient",
D394&gt;10,"Expert"
)</f>
        <v>Expert</v>
      </c>
      <c r="F394" s="2" t="s">
        <v>109</v>
      </c>
      <c r="G394" s="5" t="s">
        <v>35</v>
      </c>
      <c r="H394" s="5" t="s">
        <v>76</v>
      </c>
      <c r="I394" s="2">
        <v>22</v>
      </c>
      <c r="J394" s="2" t="s">
        <v>24</v>
      </c>
      <c r="K394" s="2" t="s">
        <v>25</v>
      </c>
      <c r="L394" s="2" t="s">
        <v>19</v>
      </c>
      <c r="M394" s="4" t="str">
        <f t="shared" si="12"/>
        <v>Voluntary</v>
      </c>
      <c r="N394" s="23" t="s">
        <v>26</v>
      </c>
    </row>
    <row r="395" spans="1:14" x14ac:dyDescent="0.25">
      <c r="A395" s="22">
        <v>2942</v>
      </c>
      <c r="B395" s="3">
        <v>42222</v>
      </c>
      <c r="C395" s="3">
        <v>43875</v>
      </c>
      <c r="D395" s="2">
        <f t="shared" si="13"/>
        <v>5</v>
      </c>
      <c r="E395" s="4" t="str" cm="1">
        <f t="array" ref="E395">_xlfn.IFS(
D395&lt;=5,"Newcomer",
D395&lt;=10,"Proficient",
D395&gt;10,"Expert"
)</f>
        <v>Newcomer</v>
      </c>
      <c r="F395" s="2" t="s">
        <v>14</v>
      </c>
      <c r="G395" s="5" t="s">
        <v>62</v>
      </c>
      <c r="H395" s="5" t="s">
        <v>63</v>
      </c>
      <c r="I395" s="2">
        <v>35</v>
      </c>
      <c r="J395" s="2" t="s">
        <v>24</v>
      </c>
      <c r="K395" s="2" t="s">
        <v>25</v>
      </c>
      <c r="L395" s="2" t="s">
        <v>19</v>
      </c>
      <c r="M395" s="4" t="str">
        <f t="shared" si="12"/>
        <v>Voluntary</v>
      </c>
      <c r="N395" s="23" t="s">
        <v>26</v>
      </c>
    </row>
    <row r="396" spans="1:14" x14ac:dyDescent="0.25">
      <c r="A396" s="22">
        <v>2946</v>
      </c>
      <c r="B396" s="3">
        <v>34636</v>
      </c>
      <c r="C396" s="3">
        <v>43891</v>
      </c>
      <c r="D396" s="2">
        <f t="shared" si="13"/>
        <v>26</v>
      </c>
      <c r="E396" s="4" t="str" cm="1">
        <f t="array" ref="E396">_xlfn.IFS(
D396&lt;=5,"Newcomer",
D396&lt;=10,"Proficient",
D396&gt;10,"Expert"
)</f>
        <v>Expert</v>
      </c>
      <c r="F396" s="2" t="s">
        <v>30</v>
      </c>
      <c r="G396" s="5" t="s">
        <v>35</v>
      </c>
      <c r="H396" s="5" t="s">
        <v>76</v>
      </c>
      <c r="I396" s="2">
        <v>37</v>
      </c>
      <c r="J396" s="2" t="s">
        <v>24</v>
      </c>
      <c r="K396" s="2" t="s">
        <v>25</v>
      </c>
      <c r="L396" s="2" t="s">
        <v>19</v>
      </c>
      <c r="M396" s="4" t="str">
        <f t="shared" si="12"/>
        <v>Voluntary</v>
      </c>
      <c r="N396" s="23" t="s">
        <v>26</v>
      </c>
    </row>
    <row r="397" spans="1:14" x14ac:dyDescent="0.25">
      <c r="A397" s="22">
        <v>2953</v>
      </c>
      <c r="B397" s="3">
        <v>34321</v>
      </c>
      <c r="C397" s="3">
        <v>44004</v>
      </c>
      <c r="D397" s="2">
        <f t="shared" si="13"/>
        <v>27</v>
      </c>
      <c r="E397" s="4" t="str" cm="1">
        <f t="array" ref="E397">_xlfn.IFS(
D397&lt;=5,"Newcomer",
D397&lt;=10,"Proficient",
D397&gt;10,"Expert"
)</f>
        <v>Expert</v>
      </c>
      <c r="F397" s="2" t="s">
        <v>90</v>
      </c>
      <c r="G397" s="5" t="s">
        <v>35</v>
      </c>
      <c r="H397" s="5" t="s">
        <v>76</v>
      </c>
      <c r="I397" s="2">
        <v>26</v>
      </c>
      <c r="J397" s="2" t="s">
        <v>24</v>
      </c>
      <c r="K397" s="2" t="s">
        <v>25</v>
      </c>
      <c r="L397" s="2" t="s">
        <v>19</v>
      </c>
      <c r="M397" s="4" t="str">
        <f t="shared" si="12"/>
        <v>Voluntary</v>
      </c>
      <c r="N397" s="23" t="s">
        <v>26</v>
      </c>
    </row>
    <row r="398" spans="1:14" x14ac:dyDescent="0.25">
      <c r="A398" s="22">
        <v>2963</v>
      </c>
      <c r="B398" s="3">
        <v>40544</v>
      </c>
      <c r="C398" s="3">
        <v>44163</v>
      </c>
      <c r="D398" s="2">
        <f t="shared" si="13"/>
        <v>9</v>
      </c>
      <c r="E398" s="4" t="str" cm="1">
        <f t="array" ref="E398">_xlfn.IFS(
D398&lt;=5,"Newcomer",
D398&lt;=10,"Proficient",
D398&gt;10,"Expert"
)</f>
        <v>Proficient</v>
      </c>
      <c r="F398" s="2" t="s">
        <v>41</v>
      </c>
      <c r="G398" s="5" t="s">
        <v>42</v>
      </c>
      <c r="H398" s="5" t="s">
        <v>105</v>
      </c>
      <c r="I398" s="2">
        <v>15</v>
      </c>
      <c r="J398" s="2" t="s">
        <v>24</v>
      </c>
      <c r="K398" s="2" t="s">
        <v>25</v>
      </c>
      <c r="L398" s="2" t="s">
        <v>19</v>
      </c>
      <c r="M398" s="4" t="str">
        <f t="shared" si="12"/>
        <v>Voluntary</v>
      </c>
      <c r="N398" s="23" t="s">
        <v>26</v>
      </c>
    </row>
    <row r="399" spans="1:14" x14ac:dyDescent="0.25">
      <c r="A399" s="22">
        <v>2965</v>
      </c>
      <c r="B399" s="3">
        <v>39652</v>
      </c>
      <c r="C399" s="3">
        <v>43878</v>
      </c>
      <c r="D399" s="2">
        <f t="shared" si="13"/>
        <v>12</v>
      </c>
      <c r="E399" s="4" t="str" cm="1">
        <f t="array" ref="E399">_xlfn.IFS(
D399&lt;=5,"Newcomer",
D399&lt;=10,"Proficient",
D399&gt;10,"Expert"
)</f>
        <v>Expert</v>
      </c>
      <c r="F399" s="2" t="s">
        <v>78</v>
      </c>
      <c r="G399" s="5" t="s">
        <v>35</v>
      </c>
      <c r="H399" s="5" t="s">
        <v>76</v>
      </c>
      <c r="I399" s="2">
        <v>21</v>
      </c>
      <c r="J399" s="2" t="s">
        <v>24</v>
      </c>
      <c r="K399" s="2" t="s">
        <v>25</v>
      </c>
      <c r="L399" s="2" t="s">
        <v>19</v>
      </c>
      <c r="M399" s="4" t="str">
        <f t="shared" si="12"/>
        <v>Voluntary</v>
      </c>
      <c r="N399" s="23" t="s">
        <v>26</v>
      </c>
    </row>
    <row r="400" spans="1:14" x14ac:dyDescent="0.25">
      <c r="A400" s="22">
        <v>2970</v>
      </c>
      <c r="B400" s="3">
        <v>37284</v>
      </c>
      <c r="C400" s="3">
        <v>44015</v>
      </c>
      <c r="D400" s="2">
        <f t="shared" si="13"/>
        <v>18</v>
      </c>
      <c r="E400" s="4" t="str" cm="1">
        <f t="array" ref="E400">_xlfn.IFS(
D400&lt;=5,"Newcomer",
D400&lt;=10,"Proficient",
D400&gt;10,"Expert"
)</f>
        <v>Expert</v>
      </c>
      <c r="F400" s="2" t="s">
        <v>74</v>
      </c>
      <c r="G400" s="5" t="s">
        <v>42</v>
      </c>
      <c r="H400" s="5" t="s">
        <v>105</v>
      </c>
      <c r="I400" s="2">
        <v>9</v>
      </c>
      <c r="J400" s="2" t="s">
        <v>24</v>
      </c>
      <c r="K400" s="2" t="s">
        <v>25</v>
      </c>
      <c r="L400" s="2" t="s">
        <v>19</v>
      </c>
      <c r="M400" s="4" t="str">
        <f t="shared" si="12"/>
        <v>Voluntary</v>
      </c>
      <c r="N400" s="23" t="s">
        <v>26</v>
      </c>
    </row>
    <row r="401" spans="1:14" x14ac:dyDescent="0.25">
      <c r="A401" s="22">
        <v>2971</v>
      </c>
      <c r="B401" s="3">
        <v>35624</v>
      </c>
      <c r="C401" s="3">
        <v>44150</v>
      </c>
      <c r="D401" s="2">
        <f t="shared" si="13"/>
        <v>23</v>
      </c>
      <c r="E401" s="4" t="str" cm="1">
        <f t="array" ref="E401">_xlfn.IFS(
D401&lt;=5,"Newcomer",
D401&lt;=10,"Proficient",
D401&gt;10,"Expert"
)</f>
        <v>Expert</v>
      </c>
      <c r="F401" s="2" t="s">
        <v>44</v>
      </c>
      <c r="G401" s="5" t="s">
        <v>35</v>
      </c>
      <c r="H401" s="5" t="s">
        <v>76</v>
      </c>
      <c r="I401" s="2">
        <v>18</v>
      </c>
      <c r="J401" s="2" t="s">
        <v>24</v>
      </c>
      <c r="K401" s="2" t="s">
        <v>25</v>
      </c>
      <c r="L401" s="2" t="s">
        <v>19</v>
      </c>
      <c r="M401" s="4" t="str">
        <f t="shared" si="12"/>
        <v>Voluntary</v>
      </c>
      <c r="N401" s="23" t="s">
        <v>26</v>
      </c>
    </row>
    <row r="402" spans="1:14" x14ac:dyDescent="0.25">
      <c r="A402" s="22">
        <v>2972</v>
      </c>
      <c r="B402" s="3">
        <v>37311</v>
      </c>
      <c r="C402" s="3">
        <v>43892</v>
      </c>
      <c r="D402" s="2">
        <f t="shared" si="13"/>
        <v>18</v>
      </c>
      <c r="E402" s="4" t="str" cm="1">
        <f t="array" ref="E402">_xlfn.IFS(
D402&lt;=5,"Newcomer",
D402&lt;=10,"Proficient",
D402&gt;10,"Expert"
)</f>
        <v>Expert</v>
      </c>
      <c r="F402" s="2" t="s">
        <v>107</v>
      </c>
      <c r="G402" s="5" t="s">
        <v>62</v>
      </c>
      <c r="H402" s="5" t="s">
        <v>63</v>
      </c>
      <c r="I402" s="2">
        <v>11</v>
      </c>
      <c r="J402" s="2" t="s">
        <v>17</v>
      </c>
      <c r="K402" s="2" t="s">
        <v>18</v>
      </c>
      <c r="L402" s="2" t="s">
        <v>96</v>
      </c>
      <c r="M402" s="4" t="str">
        <f t="shared" si="12"/>
        <v>Involuntary</v>
      </c>
      <c r="N402" s="23" t="s">
        <v>26</v>
      </c>
    </row>
    <row r="403" spans="1:14" x14ac:dyDescent="0.25">
      <c r="A403" s="22">
        <v>2974</v>
      </c>
      <c r="B403" s="3">
        <v>39138</v>
      </c>
      <c r="C403" s="3">
        <v>44142</v>
      </c>
      <c r="D403" s="2">
        <f t="shared" si="13"/>
        <v>13</v>
      </c>
      <c r="E403" s="4" t="str" cm="1">
        <f t="array" ref="E403">_xlfn.IFS(
D403&lt;=5,"Newcomer",
D403&lt;=10,"Proficient",
D403&gt;10,"Expert"
)</f>
        <v>Expert</v>
      </c>
      <c r="F403" s="2" t="s">
        <v>91</v>
      </c>
      <c r="G403" s="5" t="s">
        <v>35</v>
      </c>
      <c r="H403" s="5" t="s">
        <v>76</v>
      </c>
      <c r="I403" s="2">
        <v>29</v>
      </c>
      <c r="J403" s="2" t="s">
        <v>24</v>
      </c>
      <c r="K403" s="2" t="s">
        <v>25</v>
      </c>
      <c r="L403" s="2" t="s">
        <v>19</v>
      </c>
      <c r="M403" s="4" t="str">
        <f t="shared" si="12"/>
        <v>Voluntary</v>
      </c>
      <c r="N403" s="23" t="s">
        <v>26</v>
      </c>
    </row>
    <row r="404" spans="1:14" x14ac:dyDescent="0.25">
      <c r="A404" s="22">
        <v>2977</v>
      </c>
      <c r="B404" s="3">
        <v>40506</v>
      </c>
      <c r="C404" s="3">
        <v>43875</v>
      </c>
      <c r="D404" s="2">
        <f t="shared" si="13"/>
        <v>10</v>
      </c>
      <c r="E404" s="4" t="str" cm="1">
        <f t="array" ref="E404">_xlfn.IFS(
D404&lt;=5,"Newcomer",
D404&lt;=10,"Proficient",
D404&gt;10,"Expert"
)</f>
        <v>Proficient</v>
      </c>
      <c r="F404" s="2" t="s">
        <v>103</v>
      </c>
      <c r="G404" s="5" t="s">
        <v>35</v>
      </c>
      <c r="H404" s="5" t="s">
        <v>76</v>
      </c>
      <c r="I404" s="2">
        <v>2</v>
      </c>
      <c r="J404" s="2" t="s">
        <v>24</v>
      </c>
      <c r="K404" s="2" t="s">
        <v>25</v>
      </c>
      <c r="L404" s="2" t="s">
        <v>19</v>
      </c>
      <c r="M404" s="4" t="str">
        <f t="shared" si="12"/>
        <v>Voluntary</v>
      </c>
      <c r="N404" s="23" t="s">
        <v>26</v>
      </c>
    </row>
    <row r="405" spans="1:14" x14ac:dyDescent="0.25">
      <c r="A405" s="22">
        <v>2980</v>
      </c>
      <c r="B405" s="3">
        <v>40332</v>
      </c>
      <c r="C405" s="3">
        <v>44023</v>
      </c>
      <c r="D405" s="2">
        <f t="shared" si="13"/>
        <v>10</v>
      </c>
      <c r="E405" s="4" t="str" cm="1">
        <f t="array" ref="E405">_xlfn.IFS(
D405&lt;=5,"Newcomer",
D405&lt;=10,"Proficient",
D405&gt;10,"Expert"
)</f>
        <v>Proficient</v>
      </c>
      <c r="F405" s="2" t="s">
        <v>14</v>
      </c>
      <c r="G405" s="5" t="s">
        <v>71</v>
      </c>
      <c r="H405" s="5" t="s">
        <v>116</v>
      </c>
      <c r="I405" s="2">
        <v>41</v>
      </c>
      <c r="J405" s="2" t="s">
        <v>17</v>
      </c>
      <c r="K405" s="2" t="s">
        <v>18</v>
      </c>
      <c r="L405" s="2" t="s">
        <v>50</v>
      </c>
      <c r="M405" s="4" t="str">
        <f t="shared" si="12"/>
        <v>Voluntary</v>
      </c>
      <c r="N405" s="23" t="s">
        <v>26</v>
      </c>
    </row>
    <row r="406" spans="1:14" x14ac:dyDescent="0.25">
      <c r="A406" s="22">
        <v>2987</v>
      </c>
      <c r="B406" s="3">
        <v>39454</v>
      </c>
      <c r="C406" s="3">
        <v>44061</v>
      </c>
      <c r="D406" s="2">
        <f t="shared" si="13"/>
        <v>12</v>
      </c>
      <c r="E406" s="4" t="str" cm="1">
        <f t="array" ref="E406">_xlfn.IFS(
D406&lt;=5,"Newcomer",
D406&lt;=10,"Proficient",
D406&gt;10,"Expert"
)</f>
        <v>Expert</v>
      </c>
      <c r="F406" s="2" t="s">
        <v>53</v>
      </c>
      <c r="G406" s="5" t="s">
        <v>35</v>
      </c>
      <c r="H406" s="5" t="s">
        <v>76</v>
      </c>
      <c r="I406" s="2">
        <v>31</v>
      </c>
      <c r="J406" s="2" t="s">
        <v>24</v>
      </c>
      <c r="K406" s="2" t="s">
        <v>25</v>
      </c>
      <c r="L406" s="2" t="s">
        <v>19</v>
      </c>
      <c r="M406" s="4" t="str">
        <f t="shared" si="12"/>
        <v>Voluntary</v>
      </c>
      <c r="N406" s="23" t="s">
        <v>26</v>
      </c>
    </row>
    <row r="407" spans="1:14" x14ac:dyDescent="0.25">
      <c r="A407" s="22">
        <v>2988</v>
      </c>
      <c r="B407" s="3">
        <v>38624</v>
      </c>
      <c r="C407" s="3">
        <v>44062</v>
      </c>
      <c r="D407" s="2">
        <f t="shared" si="13"/>
        <v>15</v>
      </c>
      <c r="E407" s="4" t="str" cm="1">
        <f t="array" ref="E407">_xlfn.IFS(
D407&lt;=5,"Newcomer",
D407&lt;=10,"Proficient",
D407&gt;10,"Expert"
)</f>
        <v>Expert</v>
      </c>
      <c r="F407" s="2" t="s">
        <v>14</v>
      </c>
      <c r="G407" s="5" t="s">
        <v>62</v>
      </c>
      <c r="H407" s="5" t="s">
        <v>63</v>
      </c>
      <c r="I407" s="2">
        <v>35</v>
      </c>
      <c r="J407" s="2" t="s">
        <v>24</v>
      </c>
      <c r="K407" s="2" t="s">
        <v>25</v>
      </c>
      <c r="L407" s="2" t="s">
        <v>19</v>
      </c>
      <c r="M407" s="4" t="str">
        <f t="shared" si="12"/>
        <v>Voluntary</v>
      </c>
      <c r="N407" s="23" t="s">
        <v>26</v>
      </c>
    </row>
    <row r="408" spans="1:14" x14ac:dyDescent="0.25">
      <c r="A408" s="22">
        <v>2991</v>
      </c>
      <c r="B408" s="3">
        <v>37133</v>
      </c>
      <c r="C408" s="3">
        <v>44064</v>
      </c>
      <c r="D408" s="2">
        <f t="shared" si="13"/>
        <v>19</v>
      </c>
      <c r="E408" s="4" t="str" cm="1">
        <f t="array" ref="E408">_xlfn.IFS(
D408&lt;=5,"Newcomer",
D408&lt;=10,"Proficient",
D408&gt;10,"Expert"
)</f>
        <v>Expert</v>
      </c>
      <c r="F408" s="2" t="s">
        <v>73</v>
      </c>
      <c r="G408" s="5" t="s">
        <v>62</v>
      </c>
      <c r="H408" s="5" t="s">
        <v>63</v>
      </c>
      <c r="I408" s="2">
        <v>32</v>
      </c>
      <c r="J408" s="2" t="s">
        <v>24</v>
      </c>
      <c r="K408" s="2" t="s">
        <v>25</v>
      </c>
      <c r="L408" s="2" t="s">
        <v>19</v>
      </c>
      <c r="M408" s="4" t="str">
        <f t="shared" si="12"/>
        <v>Voluntary</v>
      </c>
      <c r="N408" s="23" t="s">
        <v>26</v>
      </c>
    </row>
    <row r="409" spans="1:14" x14ac:dyDescent="0.25">
      <c r="A409" s="22">
        <v>2998</v>
      </c>
      <c r="B409" s="3">
        <v>35340</v>
      </c>
      <c r="C409" s="3">
        <v>44161</v>
      </c>
      <c r="D409" s="2">
        <f t="shared" si="13"/>
        <v>24</v>
      </c>
      <c r="E409" s="4" t="str" cm="1">
        <f t="array" ref="E409">_xlfn.IFS(
D409&lt;=5,"Newcomer",
D409&lt;=10,"Proficient",
D409&gt;10,"Expert"
)</f>
        <v>Expert</v>
      </c>
      <c r="F409" s="2" t="s">
        <v>106</v>
      </c>
      <c r="G409" s="5" t="s">
        <v>47</v>
      </c>
      <c r="H409" s="5" t="s">
        <v>48</v>
      </c>
      <c r="I409" s="2">
        <v>20</v>
      </c>
      <c r="J409" s="2" t="s">
        <v>24</v>
      </c>
      <c r="K409" s="2" t="s">
        <v>25</v>
      </c>
      <c r="L409" s="2" t="s">
        <v>96</v>
      </c>
      <c r="M409" s="4" t="str">
        <f t="shared" si="12"/>
        <v>Involuntary</v>
      </c>
      <c r="N409" s="23" t="s">
        <v>26</v>
      </c>
    </row>
    <row r="410" spans="1:14" x14ac:dyDescent="0.25">
      <c r="A410" s="22">
        <v>3000</v>
      </c>
      <c r="B410" s="3">
        <v>36754</v>
      </c>
      <c r="C410" s="3">
        <v>44160</v>
      </c>
      <c r="D410" s="2">
        <f t="shared" si="13"/>
        <v>20</v>
      </c>
      <c r="E410" s="4" t="str" cm="1">
        <f t="array" ref="E410">_xlfn.IFS(
D410&lt;=5,"Newcomer",
D410&lt;=10,"Proficient",
D410&gt;10,"Expert"
)</f>
        <v>Expert</v>
      </c>
      <c r="F410" s="2" t="s">
        <v>78</v>
      </c>
      <c r="G410" s="5" t="s">
        <v>35</v>
      </c>
      <c r="H410" s="5" t="s">
        <v>76</v>
      </c>
      <c r="I410" s="2">
        <v>21</v>
      </c>
      <c r="J410" s="2" t="s">
        <v>24</v>
      </c>
      <c r="K410" s="2" t="s">
        <v>25</v>
      </c>
      <c r="L410" s="2" t="s">
        <v>19</v>
      </c>
      <c r="M410" s="4" t="str">
        <f t="shared" si="12"/>
        <v>Voluntary</v>
      </c>
      <c r="N410" s="23" t="s">
        <v>26</v>
      </c>
    </row>
    <row r="411" spans="1:14" x14ac:dyDescent="0.25">
      <c r="A411" s="22">
        <v>3002</v>
      </c>
      <c r="B411" s="3">
        <v>38302</v>
      </c>
      <c r="C411" s="3">
        <v>44157</v>
      </c>
      <c r="D411" s="2">
        <f t="shared" si="13"/>
        <v>16</v>
      </c>
      <c r="E411" s="4" t="str" cm="1">
        <f t="array" ref="E411">_xlfn.IFS(
D411&lt;=5,"Newcomer",
D411&lt;=10,"Proficient",
D411&gt;10,"Expert"
)</f>
        <v>Expert</v>
      </c>
      <c r="F411" s="2" t="s">
        <v>14</v>
      </c>
      <c r="G411" s="5" t="s">
        <v>62</v>
      </c>
      <c r="H411" s="5" t="s">
        <v>63</v>
      </c>
      <c r="I411" s="2">
        <v>35</v>
      </c>
      <c r="J411" s="2" t="s">
        <v>24</v>
      </c>
      <c r="K411" s="2" t="s">
        <v>25</v>
      </c>
      <c r="L411" s="2" t="s">
        <v>19</v>
      </c>
      <c r="M411" s="4" t="str">
        <f t="shared" si="12"/>
        <v>Voluntary</v>
      </c>
      <c r="N411" s="23" t="s">
        <v>26</v>
      </c>
    </row>
    <row r="412" spans="1:14" x14ac:dyDescent="0.25">
      <c r="A412" s="22">
        <v>3005</v>
      </c>
      <c r="B412" s="3">
        <v>36958</v>
      </c>
      <c r="C412" s="3">
        <v>43967</v>
      </c>
      <c r="D412" s="2">
        <f t="shared" si="13"/>
        <v>19</v>
      </c>
      <c r="E412" s="4" t="str" cm="1">
        <f t="array" ref="E412">_xlfn.IFS(
D412&lt;=5,"Newcomer",
D412&lt;=10,"Proficient",
D412&gt;10,"Expert"
)</f>
        <v>Expert</v>
      </c>
      <c r="F412" s="2" t="s">
        <v>30</v>
      </c>
      <c r="G412" s="5" t="s">
        <v>35</v>
      </c>
      <c r="H412" s="5" t="s">
        <v>76</v>
      </c>
      <c r="I412" s="2">
        <v>37</v>
      </c>
      <c r="J412" s="2" t="s">
        <v>24</v>
      </c>
      <c r="K412" s="2" t="s">
        <v>25</v>
      </c>
      <c r="L412" s="2" t="s">
        <v>19</v>
      </c>
      <c r="M412" s="4" t="str">
        <f t="shared" si="12"/>
        <v>Voluntary</v>
      </c>
      <c r="N412" s="23" t="s">
        <v>26</v>
      </c>
    </row>
    <row r="413" spans="1:14" x14ac:dyDescent="0.25">
      <c r="A413" s="22">
        <v>3006</v>
      </c>
      <c r="B413" s="3">
        <v>41344</v>
      </c>
      <c r="C413" s="3">
        <v>44126</v>
      </c>
      <c r="D413" s="2">
        <f t="shared" si="13"/>
        <v>7</v>
      </c>
      <c r="E413" s="4" t="str" cm="1">
        <f t="array" ref="E413">_xlfn.IFS(
D413&lt;=5,"Newcomer",
D413&lt;=10,"Proficient",
D413&gt;10,"Expert"
)</f>
        <v>Proficient</v>
      </c>
      <c r="F413" s="2" t="s">
        <v>41</v>
      </c>
      <c r="G413" s="5" t="s">
        <v>42</v>
      </c>
      <c r="H413" s="5" t="s">
        <v>105</v>
      </c>
      <c r="I413" s="2">
        <v>15</v>
      </c>
      <c r="J413" s="2" t="s">
        <v>24</v>
      </c>
      <c r="K413" s="2" t="s">
        <v>25</v>
      </c>
      <c r="L413" s="2" t="s">
        <v>19</v>
      </c>
      <c r="M413" s="4" t="str">
        <f t="shared" si="12"/>
        <v>Voluntary</v>
      </c>
      <c r="N413" s="23" t="s">
        <v>26</v>
      </c>
    </row>
    <row r="414" spans="1:14" x14ac:dyDescent="0.25">
      <c r="A414" s="22">
        <v>3008</v>
      </c>
      <c r="B414" s="3">
        <v>34230</v>
      </c>
      <c r="C414" s="3">
        <v>44046</v>
      </c>
      <c r="D414" s="2">
        <f t="shared" si="13"/>
        <v>27</v>
      </c>
      <c r="E414" s="4" t="str" cm="1">
        <f t="array" ref="E414">_xlfn.IFS(
D414&lt;=5,"Newcomer",
D414&lt;=10,"Proficient",
D414&gt;10,"Expert"
)</f>
        <v>Expert</v>
      </c>
      <c r="F414" s="2" t="s">
        <v>14</v>
      </c>
      <c r="G414" s="5" t="s">
        <v>62</v>
      </c>
      <c r="H414" s="5" t="s">
        <v>63</v>
      </c>
      <c r="I414" s="2">
        <v>35</v>
      </c>
      <c r="J414" s="2" t="s">
        <v>24</v>
      </c>
      <c r="K414" s="2" t="s">
        <v>25</v>
      </c>
      <c r="L414" s="2" t="s">
        <v>19</v>
      </c>
      <c r="M414" s="4" t="str">
        <f t="shared" si="12"/>
        <v>Voluntary</v>
      </c>
      <c r="N414" s="23" t="s">
        <v>26</v>
      </c>
    </row>
    <row r="415" spans="1:14" x14ac:dyDescent="0.25">
      <c r="A415" s="22">
        <v>3012</v>
      </c>
      <c r="B415" s="3">
        <v>35432</v>
      </c>
      <c r="C415" s="3">
        <v>44123</v>
      </c>
      <c r="D415" s="2">
        <f t="shared" si="13"/>
        <v>23</v>
      </c>
      <c r="E415" s="4" t="str" cm="1">
        <f t="array" ref="E415">_xlfn.IFS(
D415&lt;=5,"Newcomer",
D415&lt;=10,"Proficient",
D415&gt;10,"Expert"
)</f>
        <v>Expert</v>
      </c>
      <c r="F415" s="2" t="s">
        <v>104</v>
      </c>
      <c r="G415" s="5" t="s">
        <v>62</v>
      </c>
      <c r="H415" s="5" t="s">
        <v>63</v>
      </c>
      <c r="I415" s="2">
        <v>39</v>
      </c>
      <c r="J415" s="2" t="s">
        <v>24</v>
      </c>
      <c r="K415" s="2" t="s">
        <v>25</v>
      </c>
      <c r="L415" s="2" t="s">
        <v>96</v>
      </c>
      <c r="M415" s="4" t="str">
        <f t="shared" si="12"/>
        <v>Involuntary</v>
      </c>
      <c r="N415" s="23" t="s">
        <v>26</v>
      </c>
    </row>
    <row r="416" spans="1:14" x14ac:dyDescent="0.25">
      <c r="A416" s="22">
        <v>3013</v>
      </c>
      <c r="B416" s="3">
        <v>37912</v>
      </c>
      <c r="C416" s="3">
        <v>44019</v>
      </c>
      <c r="D416" s="2">
        <f t="shared" si="13"/>
        <v>17</v>
      </c>
      <c r="E416" s="4" t="str" cm="1">
        <f t="array" ref="E416">_xlfn.IFS(
D416&lt;=5,"Newcomer",
D416&lt;=10,"Proficient",
D416&gt;10,"Expert"
)</f>
        <v>Expert</v>
      </c>
      <c r="F416" s="2" t="s">
        <v>44</v>
      </c>
      <c r="G416" s="5" t="s">
        <v>35</v>
      </c>
      <c r="H416" s="5" t="s">
        <v>76</v>
      </c>
      <c r="I416" s="2">
        <v>18</v>
      </c>
      <c r="J416" s="2" t="s">
        <v>24</v>
      </c>
      <c r="K416" s="2" t="s">
        <v>25</v>
      </c>
      <c r="L416" s="2" t="s">
        <v>19</v>
      </c>
      <c r="M416" s="4" t="str">
        <f t="shared" si="12"/>
        <v>Voluntary</v>
      </c>
      <c r="N416" s="23" t="s">
        <v>26</v>
      </c>
    </row>
    <row r="417" spans="1:14" x14ac:dyDescent="0.25">
      <c r="A417" s="22">
        <v>3016</v>
      </c>
      <c r="B417" s="3">
        <v>37221</v>
      </c>
      <c r="C417" s="3">
        <v>43927</v>
      </c>
      <c r="D417" s="2">
        <f t="shared" si="13"/>
        <v>19</v>
      </c>
      <c r="E417" s="4" t="str" cm="1">
        <f t="array" ref="E417">_xlfn.IFS(
D417&lt;=5,"Newcomer",
D417&lt;=10,"Proficient",
D417&gt;10,"Expert"
)</f>
        <v>Expert</v>
      </c>
      <c r="F417" s="2" t="s">
        <v>53</v>
      </c>
      <c r="G417" s="5" t="s">
        <v>35</v>
      </c>
      <c r="H417" s="5" t="s">
        <v>76</v>
      </c>
      <c r="I417" s="2">
        <v>31</v>
      </c>
      <c r="J417" s="2" t="s">
        <v>24</v>
      </c>
      <c r="K417" s="2" t="s">
        <v>25</v>
      </c>
      <c r="L417" s="2" t="s">
        <v>19</v>
      </c>
      <c r="M417" s="4" t="str">
        <f t="shared" si="12"/>
        <v>Voluntary</v>
      </c>
      <c r="N417" s="23" t="s">
        <v>26</v>
      </c>
    </row>
    <row r="418" spans="1:14" x14ac:dyDescent="0.25">
      <c r="A418" s="22">
        <v>3017</v>
      </c>
      <c r="B418" s="3">
        <v>39227</v>
      </c>
      <c r="C418" s="3">
        <v>43920</v>
      </c>
      <c r="D418" s="2">
        <f t="shared" si="13"/>
        <v>13</v>
      </c>
      <c r="E418" s="4" t="str" cm="1">
        <f t="array" ref="E418">_xlfn.IFS(
D418&lt;=5,"Newcomer",
D418&lt;=10,"Proficient",
D418&gt;10,"Expert"
)</f>
        <v>Expert</v>
      </c>
      <c r="F418" s="2" t="s">
        <v>73</v>
      </c>
      <c r="G418" s="5" t="s">
        <v>35</v>
      </c>
      <c r="H418" s="5" t="s">
        <v>76</v>
      </c>
      <c r="I418" s="2">
        <v>32</v>
      </c>
      <c r="J418" s="2" t="s">
        <v>24</v>
      </c>
      <c r="K418" s="2" t="s">
        <v>25</v>
      </c>
      <c r="L418" s="2" t="s">
        <v>19</v>
      </c>
      <c r="M418" s="4" t="str">
        <f t="shared" si="12"/>
        <v>Voluntary</v>
      </c>
      <c r="N418" s="23" t="s">
        <v>26</v>
      </c>
    </row>
    <row r="419" spans="1:14" x14ac:dyDescent="0.25">
      <c r="A419" s="22">
        <v>3018</v>
      </c>
      <c r="B419" s="3">
        <v>34957</v>
      </c>
      <c r="C419" s="3">
        <v>43879</v>
      </c>
      <c r="D419" s="2">
        <f t="shared" si="13"/>
        <v>25</v>
      </c>
      <c r="E419" s="4" t="str" cm="1">
        <f t="array" ref="E419">_xlfn.IFS(
D419&lt;=5,"Newcomer",
D419&lt;=10,"Proficient",
D419&gt;10,"Expert"
)</f>
        <v>Expert</v>
      </c>
      <c r="F419" s="2" t="s">
        <v>114</v>
      </c>
      <c r="G419" s="5" t="s">
        <v>35</v>
      </c>
      <c r="H419" s="5" t="s">
        <v>76</v>
      </c>
      <c r="I419" s="2">
        <v>27</v>
      </c>
      <c r="J419" s="2" t="s">
        <v>24</v>
      </c>
      <c r="K419" s="2" t="s">
        <v>25</v>
      </c>
      <c r="L419" s="2" t="s">
        <v>19</v>
      </c>
      <c r="M419" s="4" t="str">
        <f t="shared" si="12"/>
        <v>Voluntary</v>
      </c>
      <c r="N419" s="23" t="s">
        <v>26</v>
      </c>
    </row>
    <row r="420" spans="1:14" x14ac:dyDescent="0.25">
      <c r="A420" s="22">
        <v>3022</v>
      </c>
      <c r="B420" s="3">
        <v>33519</v>
      </c>
      <c r="C420" s="3">
        <v>43996</v>
      </c>
      <c r="D420" s="2">
        <f t="shared" si="13"/>
        <v>29</v>
      </c>
      <c r="E420" s="4" t="str" cm="1">
        <f t="array" ref="E420">_xlfn.IFS(
D420&lt;=5,"Newcomer",
D420&lt;=10,"Proficient",
D420&gt;10,"Expert"
)</f>
        <v>Expert</v>
      </c>
      <c r="F420" s="2" t="s">
        <v>104</v>
      </c>
      <c r="G420" s="5" t="s">
        <v>62</v>
      </c>
      <c r="H420" s="5" t="s">
        <v>63</v>
      </c>
      <c r="I420" s="2">
        <v>39</v>
      </c>
      <c r="J420" s="2" t="s">
        <v>24</v>
      </c>
      <c r="K420" s="2" t="s">
        <v>25</v>
      </c>
      <c r="L420" s="2" t="s">
        <v>19</v>
      </c>
      <c r="M420" s="4" t="str">
        <f t="shared" si="12"/>
        <v>Voluntary</v>
      </c>
      <c r="N420" s="23" t="s">
        <v>26</v>
      </c>
    </row>
    <row r="421" spans="1:14" x14ac:dyDescent="0.25">
      <c r="A421" s="22">
        <v>3024</v>
      </c>
      <c r="B421" s="3">
        <v>35084</v>
      </c>
      <c r="C421" s="3">
        <v>43949</v>
      </c>
      <c r="D421" s="2">
        <f t="shared" si="13"/>
        <v>24</v>
      </c>
      <c r="E421" s="4" t="str" cm="1">
        <f t="array" ref="E421">_xlfn.IFS(
D421&lt;=5,"Newcomer",
D421&lt;=10,"Proficient",
D421&gt;10,"Expert"
)</f>
        <v>Expert</v>
      </c>
      <c r="F421" s="2" t="s">
        <v>53</v>
      </c>
      <c r="G421" s="5" t="s">
        <v>35</v>
      </c>
      <c r="H421" s="5" t="s">
        <v>76</v>
      </c>
      <c r="I421" s="2">
        <v>31</v>
      </c>
      <c r="J421" s="2" t="s">
        <v>24</v>
      </c>
      <c r="K421" s="2" t="s">
        <v>25</v>
      </c>
      <c r="L421" s="2" t="s">
        <v>19</v>
      </c>
      <c r="M421" s="4" t="str">
        <f t="shared" si="12"/>
        <v>Voluntary</v>
      </c>
      <c r="N421" s="23" t="s">
        <v>26</v>
      </c>
    </row>
    <row r="422" spans="1:14" x14ac:dyDescent="0.25">
      <c r="A422" s="22">
        <v>3026</v>
      </c>
      <c r="B422" s="3">
        <v>35273</v>
      </c>
      <c r="C422" s="3">
        <v>44028</v>
      </c>
      <c r="D422" s="2">
        <f t="shared" si="13"/>
        <v>24</v>
      </c>
      <c r="E422" s="4" t="str" cm="1">
        <f t="array" ref="E422">_xlfn.IFS(
D422&lt;=5,"Newcomer",
D422&lt;=10,"Proficient",
D422&gt;10,"Expert"
)</f>
        <v>Expert</v>
      </c>
      <c r="F422" s="2" t="s">
        <v>44</v>
      </c>
      <c r="G422" s="5" t="s">
        <v>35</v>
      </c>
      <c r="H422" s="5" t="s">
        <v>76</v>
      </c>
      <c r="I422" s="2">
        <v>18</v>
      </c>
      <c r="J422" s="2" t="s">
        <v>24</v>
      </c>
      <c r="K422" s="2" t="s">
        <v>25</v>
      </c>
      <c r="L422" s="2" t="s">
        <v>19</v>
      </c>
      <c r="M422" s="4" t="str">
        <f t="shared" si="12"/>
        <v>Voluntary</v>
      </c>
      <c r="N422" s="23" t="s">
        <v>26</v>
      </c>
    </row>
    <row r="423" spans="1:14" x14ac:dyDescent="0.25">
      <c r="A423" s="22">
        <v>3031</v>
      </c>
      <c r="B423" s="3">
        <v>36639</v>
      </c>
      <c r="C423" s="3">
        <v>44022</v>
      </c>
      <c r="D423" s="2">
        <f t="shared" si="13"/>
        <v>20</v>
      </c>
      <c r="E423" s="4" t="str" cm="1">
        <f t="array" ref="E423">_xlfn.IFS(
D423&lt;=5,"Newcomer",
D423&lt;=10,"Proficient",
D423&gt;10,"Expert"
)</f>
        <v>Expert</v>
      </c>
      <c r="F423" s="2" t="s">
        <v>53</v>
      </c>
      <c r="G423" s="5" t="s">
        <v>35</v>
      </c>
      <c r="H423" s="5" t="s">
        <v>76</v>
      </c>
      <c r="I423" s="2">
        <v>31</v>
      </c>
      <c r="J423" s="2" t="s">
        <v>24</v>
      </c>
      <c r="K423" s="2" t="s">
        <v>25</v>
      </c>
      <c r="L423" s="2" t="s">
        <v>96</v>
      </c>
      <c r="M423" s="4" t="str">
        <f t="shared" si="12"/>
        <v>Involuntary</v>
      </c>
      <c r="N423" s="23" t="s">
        <v>26</v>
      </c>
    </row>
    <row r="424" spans="1:14" x14ac:dyDescent="0.25">
      <c r="A424" s="22">
        <v>3035</v>
      </c>
      <c r="B424" s="3">
        <v>37233</v>
      </c>
      <c r="C424" s="3">
        <v>44012</v>
      </c>
      <c r="D424" s="2">
        <f t="shared" si="13"/>
        <v>19</v>
      </c>
      <c r="E424" s="4" t="str" cm="1">
        <f t="array" ref="E424">_xlfn.IFS(
D424&lt;=5,"Newcomer",
D424&lt;=10,"Proficient",
D424&gt;10,"Expert"
)</f>
        <v>Expert</v>
      </c>
      <c r="F424" s="2" t="s">
        <v>44</v>
      </c>
      <c r="G424" s="5" t="s">
        <v>35</v>
      </c>
      <c r="H424" s="5" t="s">
        <v>76</v>
      </c>
      <c r="I424" s="2">
        <v>18</v>
      </c>
      <c r="J424" s="2" t="s">
        <v>24</v>
      </c>
      <c r="K424" s="2" t="s">
        <v>25</v>
      </c>
      <c r="L424" s="2" t="s">
        <v>96</v>
      </c>
      <c r="M424" s="4" t="str">
        <f t="shared" si="12"/>
        <v>Involuntary</v>
      </c>
      <c r="N424" s="23" t="s">
        <v>26</v>
      </c>
    </row>
    <row r="425" spans="1:14" x14ac:dyDescent="0.25">
      <c r="A425" s="22">
        <v>3042</v>
      </c>
      <c r="B425" s="3">
        <v>41630</v>
      </c>
      <c r="C425" s="3">
        <v>44091</v>
      </c>
      <c r="D425" s="2">
        <f t="shared" si="13"/>
        <v>7</v>
      </c>
      <c r="E425" s="4" t="str" cm="1">
        <f t="array" ref="E425">_xlfn.IFS(
D425&lt;=5,"Newcomer",
D425&lt;=10,"Proficient",
D425&gt;10,"Expert"
)</f>
        <v>Proficient</v>
      </c>
      <c r="F425" s="2" t="s">
        <v>101</v>
      </c>
      <c r="G425" s="5" t="s">
        <v>35</v>
      </c>
      <c r="H425" s="5" t="s">
        <v>76</v>
      </c>
      <c r="I425" s="2">
        <v>38</v>
      </c>
      <c r="J425" s="2" t="s">
        <v>24</v>
      </c>
      <c r="K425" s="2" t="s">
        <v>25</v>
      </c>
      <c r="L425" s="2" t="s">
        <v>96</v>
      </c>
      <c r="M425" s="4" t="str">
        <f t="shared" si="12"/>
        <v>Involuntary</v>
      </c>
      <c r="N425" s="23" t="s">
        <v>26</v>
      </c>
    </row>
    <row r="426" spans="1:14" x14ac:dyDescent="0.25">
      <c r="A426" s="22">
        <v>3046</v>
      </c>
      <c r="B426" s="3">
        <v>34630</v>
      </c>
      <c r="C426" s="3">
        <v>43862</v>
      </c>
      <c r="D426" s="2">
        <f t="shared" si="13"/>
        <v>26</v>
      </c>
      <c r="E426" s="4" t="str" cm="1">
        <f t="array" ref="E426">_xlfn.IFS(
D426&lt;=5,"Newcomer",
D426&lt;=10,"Proficient",
D426&gt;10,"Expert"
)</f>
        <v>Expert</v>
      </c>
      <c r="F426" s="2" t="s">
        <v>70</v>
      </c>
      <c r="G426" s="5" t="s">
        <v>35</v>
      </c>
      <c r="H426" s="5" t="s">
        <v>76</v>
      </c>
      <c r="I426" s="2">
        <v>6</v>
      </c>
      <c r="J426" s="2" t="s">
        <v>24</v>
      </c>
      <c r="K426" s="2" t="s">
        <v>25</v>
      </c>
      <c r="L426" s="2" t="s">
        <v>96</v>
      </c>
      <c r="M426" s="4" t="str">
        <f t="shared" si="12"/>
        <v>Involuntary</v>
      </c>
      <c r="N426" s="23" t="s">
        <v>26</v>
      </c>
    </row>
    <row r="427" spans="1:14" x14ac:dyDescent="0.25">
      <c r="A427" s="22">
        <v>3048</v>
      </c>
      <c r="B427" s="3">
        <v>41897</v>
      </c>
      <c r="C427" s="3">
        <v>43912</v>
      </c>
      <c r="D427" s="2">
        <f t="shared" si="13"/>
        <v>6</v>
      </c>
      <c r="E427" s="4" t="str" cm="1">
        <f t="array" ref="E427">_xlfn.IFS(
D427&lt;=5,"Newcomer",
D427&lt;=10,"Proficient",
D427&gt;10,"Expert"
)</f>
        <v>Proficient</v>
      </c>
      <c r="F427" s="2" t="s">
        <v>73</v>
      </c>
      <c r="G427" s="5" t="s">
        <v>35</v>
      </c>
      <c r="H427" s="5" t="s">
        <v>76</v>
      </c>
      <c r="I427" s="2">
        <v>32</v>
      </c>
      <c r="J427" s="2" t="s">
        <v>24</v>
      </c>
      <c r="K427" s="2" t="s">
        <v>25</v>
      </c>
      <c r="L427" s="2" t="s">
        <v>96</v>
      </c>
      <c r="M427" s="4" t="str">
        <f t="shared" si="12"/>
        <v>Involuntary</v>
      </c>
      <c r="N427" s="23" t="s">
        <v>26</v>
      </c>
    </row>
    <row r="428" spans="1:14" x14ac:dyDescent="0.25">
      <c r="A428" s="22">
        <v>3050</v>
      </c>
      <c r="B428" s="3">
        <v>36619</v>
      </c>
      <c r="C428" s="3">
        <v>43905</v>
      </c>
      <c r="D428" s="2">
        <f t="shared" si="13"/>
        <v>20</v>
      </c>
      <c r="E428" s="4" t="str" cm="1">
        <f t="array" ref="E428">_xlfn.IFS(
D428&lt;=5,"Newcomer",
D428&lt;=10,"Proficient",
D428&gt;10,"Expert"
)</f>
        <v>Expert</v>
      </c>
      <c r="F428" s="2" t="s">
        <v>14</v>
      </c>
      <c r="G428" s="5" t="s">
        <v>62</v>
      </c>
      <c r="H428" s="5" t="s">
        <v>63</v>
      </c>
      <c r="I428" s="2">
        <v>35</v>
      </c>
      <c r="J428" s="2" t="s">
        <v>24</v>
      </c>
      <c r="K428" s="2" t="s">
        <v>25</v>
      </c>
      <c r="L428" s="2" t="s">
        <v>96</v>
      </c>
      <c r="M428" s="4" t="str">
        <f t="shared" si="12"/>
        <v>Involuntary</v>
      </c>
      <c r="N428" s="23" t="s">
        <v>26</v>
      </c>
    </row>
    <row r="429" spans="1:14" x14ac:dyDescent="0.25">
      <c r="A429" s="22">
        <v>3057</v>
      </c>
      <c r="B429" s="3">
        <v>34651</v>
      </c>
      <c r="C429" s="3">
        <v>44123</v>
      </c>
      <c r="D429" s="2">
        <f t="shared" si="13"/>
        <v>26</v>
      </c>
      <c r="E429" s="4" t="str" cm="1">
        <f t="array" ref="E429">_xlfn.IFS(
D429&lt;=5,"Newcomer",
D429&lt;=10,"Proficient",
D429&gt;10,"Expert"
)</f>
        <v>Expert</v>
      </c>
      <c r="F429" s="2" t="s">
        <v>111</v>
      </c>
      <c r="G429" s="5" t="s">
        <v>62</v>
      </c>
      <c r="H429" s="5" t="s">
        <v>63</v>
      </c>
      <c r="I429" s="2">
        <v>23</v>
      </c>
      <c r="J429" s="2" t="s">
        <v>17</v>
      </c>
      <c r="K429" s="2" t="s">
        <v>18</v>
      </c>
      <c r="L429" s="2" t="s">
        <v>96</v>
      </c>
      <c r="M429" s="4" t="str">
        <f t="shared" si="12"/>
        <v>Involuntary</v>
      </c>
      <c r="N429" s="23" t="s">
        <v>26</v>
      </c>
    </row>
    <row r="430" spans="1:14" x14ac:dyDescent="0.25">
      <c r="A430" s="22">
        <v>3067</v>
      </c>
      <c r="B430" s="3">
        <v>35332</v>
      </c>
      <c r="C430" s="3">
        <v>44130</v>
      </c>
      <c r="D430" s="2">
        <f t="shared" si="13"/>
        <v>24</v>
      </c>
      <c r="E430" s="4" t="str" cm="1">
        <f t="array" ref="E430">_xlfn.IFS(
D430&lt;=5,"Newcomer",
D430&lt;=10,"Proficient",
D430&gt;10,"Expert"
)</f>
        <v>Expert</v>
      </c>
      <c r="F430" s="2" t="s">
        <v>30</v>
      </c>
      <c r="G430" s="5" t="s">
        <v>35</v>
      </c>
      <c r="H430" s="5" t="s">
        <v>76</v>
      </c>
      <c r="I430" s="2">
        <v>37</v>
      </c>
      <c r="J430" s="2" t="s">
        <v>24</v>
      </c>
      <c r="K430" s="2" t="s">
        <v>25</v>
      </c>
      <c r="L430" s="2" t="s">
        <v>96</v>
      </c>
      <c r="M430" s="4" t="str">
        <f t="shared" si="12"/>
        <v>Involuntary</v>
      </c>
      <c r="N430" s="23" t="s">
        <v>26</v>
      </c>
    </row>
    <row r="431" spans="1:14" x14ac:dyDescent="0.25">
      <c r="A431" s="22">
        <v>3071</v>
      </c>
      <c r="B431" s="3">
        <v>40839</v>
      </c>
      <c r="C431" s="3">
        <v>43961</v>
      </c>
      <c r="D431" s="2">
        <f t="shared" si="13"/>
        <v>9</v>
      </c>
      <c r="E431" s="4" t="str" cm="1">
        <f t="array" ref="E431">_xlfn.IFS(
D431&lt;=5,"Newcomer",
D431&lt;=10,"Proficient",
D431&gt;10,"Expert"
)</f>
        <v>Proficient</v>
      </c>
      <c r="F431" s="2" t="s">
        <v>14</v>
      </c>
      <c r="G431" s="5" t="s">
        <v>62</v>
      </c>
      <c r="H431" s="5" t="s">
        <v>63</v>
      </c>
      <c r="I431" s="2">
        <v>35</v>
      </c>
      <c r="J431" s="2" t="s">
        <v>24</v>
      </c>
      <c r="K431" s="2" t="s">
        <v>25</v>
      </c>
      <c r="L431" s="2" t="s">
        <v>96</v>
      </c>
      <c r="M431" s="4" t="str">
        <f t="shared" si="12"/>
        <v>Involuntary</v>
      </c>
      <c r="N431" s="23" t="s">
        <v>26</v>
      </c>
    </row>
    <row r="432" spans="1:14" x14ac:dyDescent="0.25">
      <c r="A432" s="22">
        <v>3075</v>
      </c>
      <c r="B432" s="3">
        <v>39048</v>
      </c>
      <c r="C432" s="3">
        <v>43930</v>
      </c>
      <c r="D432" s="2">
        <f t="shared" si="13"/>
        <v>14</v>
      </c>
      <c r="E432" s="4" t="str" cm="1">
        <f t="array" ref="E432">_xlfn.IFS(
D432&lt;=5,"Newcomer",
D432&lt;=10,"Proficient",
D432&gt;10,"Expert"
)</f>
        <v>Expert</v>
      </c>
      <c r="F432" s="2" t="s">
        <v>30</v>
      </c>
      <c r="G432" s="5" t="s">
        <v>35</v>
      </c>
      <c r="H432" s="5" t="s">
        <v>76</v>
      </c>
      <c r="I432" s="2">
        <v>37</v>
      </c>
      <c r="J432" s="2" t="s">
        <v>24</v>
      </c>
      <c r="K432" s="2" t="s">
        <v>25</v>
      </c>
      <c r="L432" s="2" t="s">
        <v>96</v>
      </c>
      <c r="M432" s="4" t="str">
        <f t="shared" si="12"/>
        <v>Involuntary</v>
      </c>
      <c r="N432" s="23" t="s">
        <v>26</v>
      </c>
    </row>
    <row r="433" spans="1:14" x14ac:dyDescent="0.25">
      <c r="A433" s="22">
        <v>3082</v>
      </c>
      <c r="B433" s="3">
        <v>34079</v>
      </c>
      <c r="C433" s="3">
        <v>43895</v>
      </c>
      <c r="D433" s="2">
        <f t="shared" si="13"/>
        <v>27</v>
      </c>
      <c r="E433" s="4" t="str" cm="1">
        <f t="array" ref="E433">_xlfn.IFS(
D433&lt;=5,"Newcomer",
D433&lt;=10,"Proficient",
D433&gt;10,"Expert"
)</f>
        <v>Expert</v>
      </c>
      <c r="F433" s="2" t="s">
        <v>30</v>
      </c>
      <c r="G433" s="5" t="s">
        <v>35</v>
      </c>
      <c r="H433" s="5" t="s">
        <v>76</v>
      </c>
      <c r="I433" s="2">
        <v>37</v>
      </c>
      <c r="J433" s="2" t="s">
        <v>24</v>
      </c>
      <c r="K433" s="2" t="s">
        <v>25</v>
      </c>
      <c r="L433" s="2" t="s">
        <v>96</v>
      </c>
      <c r="M433" s="4" t="str">
        <f t="shared" si="12"/>
        <v>Involuntary</v>
      </c>
      <c r="N433" s="23" t="s">
        <v>26</v>
      </c>
    </row>
    <row r="434" spans="1:14" x14ac:dyDescent="0.25">
      <c r="A434" s="22">
        <v>3083</v>
      </c>
      <c r="B434" s="3">
        <v>34764</v>
      </c>
      <c r="C434" s="3">
        <v>43972</v>
      </c>
      <c r="D434" s="2">
        <f t="shared" si="13"/>
        <v>25</v>
      </c>
      <c r="E434" s="4" t="str" cm="1">
        <f t="array" ref="E434">_xlfn.IFS(
D434&lt;=5,"Newcomer",
D434&lt;=10,"Proficient",
D434&gt;10,"Expert"
)</f>
        <v>Expert</v>
      </c>
      <c r="F434" s="2" t="s">
        <v>73</v>
      </c>
      <c r="G434" s="5" t="s">
        <v>35</v>
      </c>
      <c r="H434" s="5" t="s">
        <v>76</v>
      </c>
      <c r="I434" s="2">
        <v>32</v>
      </c>
      <c r="J434" s="2" t="s">
        <v>24</v>
      </c>
      <c r="K434" s="2" t="s">
        <v>25</v>
      </c>
      <c r="L434" s="2" t="s">
        <v>96</v>
      </c>
      <c r="M434" s="4" t="str">
        <f t="shared" si="12"/>
        <v>Involuntary</v>
      </c>
      <c r="N434" s="23" t="s">
        <v>26</v>
      </c>
    </row>
    <row r="435" spans="1:14" x14ac:dyDescent="0.25">
      <c r="A435" s="22">
        <v>3093</v>
      </c>
      <c r="B435" s="3">
        <v>41877</v>
      </c>
      <c r="C435" s="3">
        <v>44070</v>
      </c>
      <c r="D435" s="2">
        <f t="shared" si="13"/>
        <v>6</v>
      </c>
      <c r="E435" s="4" t="str" cm="1">
        <f t="array" ref="E435">_xlfn.IFS(
D435&lt;=5,"Newcomer",
D435&lt;=10,"Proficient",
D435&gt;10,"Expert"
)</f>
        <v>Proficient</v>
      </c>
      <c r="F435" s="2" t="s">
        <v>27</v>
      </c>
      <c r="G435" s="5" t="s">
        <v>35</v>
      </c>
      <c r="H435" s="5" t="s">
        <v>76</v>
      </c>
      <c r="I435" s="2">
        <v>16</v>
      </c>
      <c r="J435" s="2" t="s">
        <v>24</v>
      </c>
      <c r="K435" s="2" t="s">
        <v>25</v>
      </c>
      <c r="L435" s="2" t="s">
        <v>96</v>
      </c>
      <c r="M435" s="4" t="str">
        <f t="shared" si="12"/>
        <v>Involuntary</v>
      </c>
      <c r="N435" s="23" t="s">
        <v>26</v>
      </c>
    </row>
    <row r="436" spans="1:14" x14ac:dyDescent="0.25">
      <c r="A436" s="22">
        <v>3102</v>
      </c>
      <c r="B436" s="3">
        <v>35089</v>
      </c>
      <c r="C436" s="3">
        <v>44195</v>
      </c>
      <c r="D436" s="2">
        <f t="shared" si="13"/>
        <v>24</v>
      </c>
      <c r="E436" s="4" t="str" cm="1">
        <f t="array" ref="E436">_xlfn.IFS(
D436&lt;=5,"Newcomer",
D436&lt;=10,"Proficient",
D436&gt;10,"Expert"
)</f>
        <v>Expert</v>
      </c>
      <c r="F436" s="2" t="s">
        <v>77</v>
      </c>
      <c r="G436" s="5" t="s">
        <v>35</v>
      </c>
      <c r="H436" s="5" t="s">
        <v>76</v>
      </c>
      <c r="I436" s="2">
        <v>30</v>
      </c>
      <c r="J436" s="2" t="s">
        <v>24</v>
      </c>
      <c r="K436" s="2" t="s">
        <v>25</v>
      </c>
      <c r="L436" s="2" t="s">
        <v>96</v>
      </c>
      <c r="M436" s="4" t="str">
        <f t="shared" si="12"/>
        <v>Involuntary</v>
      </c>
      <c r="N436" s="23" t="s">
        <v>26</v>
      </c>
    </row>
    <row r="437" spans="1:14" x14ac:dyDescent="0.25">
      <c r="A437" s="22">
        <v>3115</v>
      </c>
      <c r="B437" s="3">
        <v>38498</v>
      </c>
      <c r="C437" s="3">
        <v>43952</v>
      </c>
      <c r="D437" s="2">
        <f t="shared" si="13"/>
        <v>15</v>
      </c>
      <c r="E437" s="4" t="str" cm="1">
        <f t="array" ref="E437">_xlfn.IFS(
D437&lt;=5,"Newcomer",
D437&lt;=10,"Proficient",
D437&gt;10,"Expert"
)</f>
        <v>Expert</v>
      </c>
      <c r="F437" s="2" t="s">
        <v>73</v>
      </c>
      <c r="G437" s="5" t="s">
        <v>35</v>
      </c>
      <c r="H437" s="5" t="s">
        <v>76</v>
      </c>
      <c r="I437" s="2">
        <v>32</v>
      </c>
      <c r="J437" s="2" t="s">
        <v>24</v>
      </c>
      <c r="K437" s="2" t="s">
        <v>25</v>
      </c>
      <c r="L437" s="2" t="s">
        <v>96</v>
      </c>
      <c r="M437" s="4" t="str">
        <f t="shared" si="12"/>
        <v>Involuntary</v>
      </c>
      <c r="N437" s="23" t="s">
        <v>26</v>
      </c>
    </row>
    <row r="438" spans="1:14" x14ac:dyDescent="0.25">
      <c r="A438" s="22">
        <v>3116</v>
      </c>
      <c r="B438" s="3">
        <v>38648</v>
      </c>
      <c r="C438" s="3">
        <v>44037</v>
      </c>
      <c r="D438" s="2">
        <f t="shared" si="13"/>
        <v>15</v>
      </c>
      <c r="E438" s="4" t="str" cm="1">
        <f t="array" ref="E438">_xlfn.IFS(
D438&lt;=5,"Newcomer",
D438&lt;=10,"Proficient",
D438&gt;10,"Expert"
)</f>
        <v>Expert</v>
      </c>
      <c r="F438" s="2" t="s">
        <v>30</v>
      </c>
      <c r="G438" s="5" t="s">
        <v>35</v>
      </c>
      <c r="H438" s="5" t="s">
        <v>76</v>
      </c>
      <c r="I438" s="2">
        <v>37</v>
      </c>
      <c r="J438" s="2" t="s">
        <v>24</v>
      </c>
      <c r="K438" s="2" t="s">
        <v>25</v>
      </c>
      <c r="L438" s="2" t="s">
        <v>19</v>
      </c>
      <c r="M438" s="4" t="str">
        <f t="shared" si="12"/>
        <v>Voluntary</v>
      </c>
      <c r="N438" s="23" t="s">
        <v>26</v>
      </c>
    </row>
    <row r="439" spans="1:14" x14ac:dyDescent="0.25">
      <c r="A439" s="22">
        <v>3125</v>
      </c>
      <c r="B439" s="3">
        <v>41704</v>
      </c>
      <c r="C439" s="3">
        <v>43847</v>
      </c>
      <c r="D439" s="2">
        <f t="shared" si="13"/>
        <v>6</v>
      </c>
      <c r="E439" s="4" t="str" cm="1">
        <f t="array" ref="E439">_xlfn.IFS(
D439&lt;=5,"Newcomer",
D439&lt;=10,"Proficient",
D439&gt;10,"Expert"
)</f>
        <v>Proficient</v>
      </c>
      <c r="F439" s="2" t="s">
        <v>115</v>
      </c>
      <c r="G439" s="5" t="s">
        <v>35</v>
      </c>
      <c r="H439" s="5" t="s">
        <v>76</v>
      </c>
      <c r="I439" s="2">
        <v>17</v>
      </c>
      <c r="J439" s="2" t="s">
        <v>24</v>
      </c>
      <c r="K439" s="2" t="s">
        <v>25</v>
      </c>
      <c r="L439" s="2" t="s">
        <v>19</v>
      </c>
      <c r="M439" s="4" t="str">
        <f t="shared" si="12"/>
        <v>Voluntary</v>
      </c>
      <c r="N439" s="23" t="s">
        <v>26</v>
      </c>
    </row>
    <row r="440" spans="1:14" x14ac:dyDescent="0.25">
      <c r="A440" s="22">
        <v>3127</v>
      </c>
      <c r="B440" s="3">
        <v>35932</v>
      </c>
      <c r="C440" s="3">
        <v>44128</v>
      </c>
      <c r="D440" s="2">
        <f t="shared" si="13"/>
        <v>22</v>
      </c>
      <c r="E440" s="4" t="str" cm="1">
        <f t="array" ref="E440">_xlfn.IFS(
D440&lt;=5,"Newcomer",
D440&lt;=10,"Proficient",
D440&gt;10,"Expert"
)</f>
        <v>Expert</v>
      </c>
      <c r="F440" s="2" t="s">
        <v>14</v>
      </c>
      <c r="G440" s="5" t="s">
        <v>62</v>
      </c>
      <c r="H440" s="5" t="s">
        <v>63</v>
      </c>
      <c r="I440" s="2">
        <v>35</v>
      </c>
      <c r="J440" s="2" t="s">
        <v>24</v>
      </c>
      <c r="K440" s="2" t="s">
        <v>25</v>
      </c>
      <c r="L440" s="2" t="s">
        <v>19</v>
      </c>
      <c r="M440" s="4" t="str">
        <f t="shared" si="12"/>
        <v>Voluntary</v>
      </c>
      <c r="N440" s="23" t="s">
        <v>26</v>
      </c>
    </row>
    <row r="441" spans="1:14" x14ac:dyDescent="0.25">
      <c r="A441" s="22">
        <v>3129</v>
      </c>
      <c r="B441" s="3">
        <v>35326</v>
      </c>
      <c r="C441" s="3">
        <v>44023</v>
      </c>
      <c r="D441" s="2">
        <f t="shared" si="13"/>
        <v>24</v>
      </c>
      <c r="E441" s="4" t="str" cm="1">
        <f t="array" ref="E441">_xlfn.IFS(
D441&lt;=5,"Newcomer",
D441&lt;=10,"Proficient",
D441&gt;10,"Expert"
)</f>
        <v>Expert</v>
      </c>
      <c r="F441" s="2" t="s">
        <v>44</v>
      </c>
      <c r="G441" s="5" t="s">
        <v>35</v>
      </c>
      <c r="H441" s="5" t="s">
        <v>76</v>
      </c>
      <c r="I441" s="2">
        <v>18</v>
      </c>
      <c r="J441" s="2" t="s">
        <v>24</v>
      </c>
      <c r="K441" s="2" t="s">
        <v>25</v>
      </c>
      <c r="L441" s="2" t="s">
        <v>19</v>
      </c>
      <c r="M441" s="4" t="str">
        <f t="shared" si="12"/>
        <v>Voluntary</v>
      </c>
      <c r="N441" s="23" t="s">
        <v>26</v>
      </c>
    </row>
    <row r="442" spans="1:14" x14ac:dyDescent="0.25">
      <c r="A442" s="22">
        <v>3142</v>
      </c>
      <c r="B442" s="3">
        <v>35758</v>
      </c>
      <c r="C442" s="3">
        <v>44089</v>
      </c>
      <c r="D442" s="2">
        <f t="shared" si="13"/>
        <v>23</v>
      </c>
      <c r="E442" s="4" t="str" cm="1">
        <f t="array" ref="E442">_xlfn.IFS(
D442&lt;=5,"Newcomer",
D442&lt;=10,"Proficient",
D442&gt;10,"Expert"
)</f>
        <v>Expert</v>
      </c>
      <c r="F442" s="2" t="s">
        <v>53</v>
      </c>
      <c r="G442" s="5" t="s">
        <v>35</v>
      </c>
      <c r="H442" s="5" t="s">
        <v>76</v>
      </c>
      <c r="I442" s="2">
        <v>31</v>
      </c>
      <c r="J442" s="2" t="s">
        <v>24</v>
      </c>
      <c r="K442" s="2" t="s">
        <v>25</v>
      </c>
      <c r="L442" s="2" t="s">
        <v>19</v>
      </c>
      <c r="M442" s="4" t="str">
        <f t="shared" si="12"/>
        <v>Voluntary</v>
      </c>
      <c r="N442" s="23" t="s">
        <v>26</v>
      </c>
    </row>
    <row r="443" spans="1:14" x14ac:dyDescent="0.25">
      <c r="A443" s="22">
        <v>3144</v>
      </c>
      <c r="B443" s="3">
        <v>35085</v>
      </c>
      <c r="C443" s="3">
        <v>43949</v>
      </c>
      <c r="D443" s="2">
        <f t="shared" si="13"/>
        <v>24</v>
      </c>
      <c r="E443" s="4" t="str" cm="1">
        <f t="array" ref="E443">_xlfn.IFS(
D443&lt;=5,"Newcomer",
D443&lt;=10,"Proficient",
D443&gt;10,"Expert"
)</f>
        <v>Expert</v>
      </c>
      <c r="F443" s="2" t="s">
        <v>73</v>
      </c>
      <c r="G443" s="5" t="s">
        <v>35</v>
      </c>
      <c r="H443" s="5" t="s">
        <v>76</v>
      </c>
      <c r="I443" s="2">
        <v>32</v>
      </c>
      <c r="J443" s="2" t="s">
        <v>24</v>
      </c>
      <c r="K443" s="2" t="s">
        <v>25</v>
      </c>
      <c r="L443" s="2" t="s">
        <v>19</v>
      </c>
      <c r="M443" s="4" t="str">
        <f t="shared" si="12"/>
        <v>Voluntary</v>
      </c>
      <c r="N443" s="23" t="s">
        <v>26</v>
      </c>
    </row>
    <row r="444" spans="1:14" x14ac:dyDescent="0.25">
      <c r="A444" s="22">
        <v>3149</v>
      </c>
      <c r="B444" s="3">
        <v>40829</v>
      </c>
      <c r="C444" s="3">
        <v>44071</v>
      </c>
      <c r="D444" s="2">
        <f t="shared" si="13"/>
        <v>9</v>
      </c>
      <c r="E444" s="4" t="str" cm="1">
        <f t="array" ref="E444">_xlfn.IFS(
D444&lt;=5,"Newcomer",
D444&lt;=10,"Proficient",
D444&gt;10,"Expert"
)</f>
        <v>Proficient</v>
      </c>
      <c r="F444" s="2" t="s">
        <v>30</v>
      </c>
      <c r="G444" s="5" t="s">
        <v>35</v>
      </c>
      <c r="H444" s="5" t="s">
        <v>76</v>
      </c>
      <c r="I444" s="2">
        <v>37</v>
      </c>
      <c r="J444" s="2" t="s">
        <v>24</v>
      </c>
      <c r="K444" s="2" t="s">
        <v>25</v>
      </c>
      <c r="L444" s="2" t="s">
        <v>19</v>
      </c>
      <c r="M444" s="4" t="str">
        <f t="shared" si="12"/>
        <v>Voluntary</v>
      </c>
      <c r="N444" s="23" t="s">
        <v>26</v>
      </c>
    </row>
    <row r="445" spans="1:14" x14ac:dyDescent="0.25">
      <c r="A445" s="22">
        <v>3152</v>
      </c>
      <c r="B445" s="3">
        <v>33496</v>
      </c>
      <c r="C445" s="3">
        <v>43833</v>
      </c>
      <c r="D445" s="2">
        <f t="shared" si="13"/>
        <v>29</v>
      </c>
      <c r="E445" s="4" t="str" cm="1">
        <f t="array" ref="E445">_xlfn.IFS(
D445&lt;=5,"Newcomer",
D445&lt;=10,"Proficient",
D445&gt;10,"Expert"
)</f>
        <v>Expert</v>
      </c>
      <c r="F445" s="2" t="s">
        <v>44</v>
      </c>
      <c r="G445" s="5" t="s">
        <v>35</v>
      </c>
      <c r="H445" s="5" t="s">
        <v>76</v>
      </c>
      <c r="I445" s="2">
        <v>18</v>
      </c>
      <c r="J445" s="2" t="s">
        <v>24</v>
      </c>
      <c r="K445" s="2" t="s">
        <v>25</v>
      </c>
      <c r="L445" s="2" t="s">
        <v>19</v>
      </c>
      <c r="M445" s="4" t="str">
        <f t="shared" si="12"/>
        <v>Voluntary</v>
      </c>
      <c r="N445" s="23" t="s">
        <v>26</v>
      </c>
    </row>
    <row r="446" spans="1:14" x14ac:dyDescent="0.25">
      <c r="A446" s="22">
        <v>3156</v>
      </c>
      <c r="B446" s="3">
        <v>36364</v>
      </c>
      <c r="C446" s="3">
        <v>43997</v>
      </c>
      <c r="D446" s="2">
        <f t="shared" si="13"/>
        <v>21</v>
      </c>
      <c r="E446" s="4" t="str" cm="1">
        <f t="array" ref="E446">_xlfn.IFS(
D446&lt;=5,"Newcomer",
D446&lt;=10,"Proficient",
D446&gt;10,"Expert"
)</f>
        <v>Expert</v>
      </c>
      <c r="F446" s="2" t="s">
        <v>44</v>
      </c>
      <c r="G446" s="5" t="s">
        <v>35</v>
      </c>
      <c r="H446" s="5" t="s">
        <v>76</v>
      </c>
      <c r="I446" s="2">
        <v>18</v>
      </c>
      <c r="J446" s="2" t="s">
        <v>24</v>
      </c>
      <c r="K446" s="2" t="s">
        <v>25</v>
      </c>
      <c r="L446" s="2" t="s">
        <v>19</v>
      </c>
      <c r="M446" s="4" t="str">
        <f t="shared" si="12"/>
        <v>Voluntary</v>
      </c>
      <c r="N446" s="23" t="s">
        <v>26</v>
      </c>
    </row>
    <row r="447" spans="1:14" x14ac:dyDescent="0.25">
      <c r="A447" s="22">
        <v>3157</v>
      </c>
      <c r="B447" s="3">
        <v>41538</v>
      </c>
      <c r="C447" s="3">
        <v>44089</v>
      </c>
      <c r="D447" s="2">
        <f t="shared" si="13"/>
        <v>7</v>
      </c>
      <c r="E447" s="4" t="str" cm="1">
        <f t="array" ref="E447">_xlfn.IFS(
D447&lt;=5,"Newcomer",
D447&lt;=10,"Proficient",
D447&gt;10,"Expert"
)</f>
        <v>Proficient</v>
      </c>
      <c r="F447" s="2" t="s">
        <v>89</v>
      </c>
      <c r="G447" s="5" t="s">
        <v>35</v>
      </c>
      <c r="H447" s="5" t="s">
        <v>76</v>
      </c>
      <c r="I447" s="2">
        <v>33</v>
      </c>
      <c r="J447" s="2" t="s">
        <v>24</v>
      </c>
      <c r="K447" s="2" t="s">
        <v>25</v>
      </c>
      <c r="L447" s="2" t="s">
        <v>19</v>
      </c>
      <c r="M447" s="4" t="str">
        <f t="shared" si="12"/>
        <v>Voluntary</v>
      </c>
      <c r="N447" s="23" t="s">
        <v>26</v>
      </c>
    </row>
    <row r="448" spans="1:14" x14ac:dyDescent="0.25">
      <c r="A448" s="22">
        <v>3159</v>
      </c>
      <c r="B448" s="3">
        <v>34242</v>
      </c>
      <c r="C448" s="3">
        <v>44060</v>
      </c>
      <c r="D448" s="2">
        <f t="shared" si="13"/>
        <v>27</v>
      </c>
      <c r="E448" s="4" t="str" cm="1">
        <f t="array" ref="E448">_xlfn.IFS(
D448&lt;=5,"Newcomer",
D448&lt;=10,"Proficient",
D448&gt;10,"Expert"
)</f>
        <v>Expert</v>
      </c>
      <c r="F448" s="2" t="s">
        <v>91</v>
      </c>
      <c r="G448" s="5" t="s">
        <v>35</v>
      </c>
      <c r="H448" s="5" t="s">
        <v>76</v>
      </c>
      <c r="I448" s="2">
        <v>29</v>
      </c>
      <c r="J448" s="2" t="s">
        <v>24</v>
      </c>
      <c r="K448" s="2" t="s">
        <v>25</v>
      </c>
      <c r="L448" s="2" t="s">
        <v>19</v>
      </c>
      <c r="M448" s="4" t="str">
        <f t="shared" si="12"/>
        <v>Voluntary</v>
      </c>
      <c r="N448" s="23" t="s">
        <v>26</v>
      </c>
    </row>
    <row r="449" spans="1:14" x14ac:dyDescent="0.25">
      <c r="A449" s="22">
        <v>3160</v>
      </c>
      <c r="B449" s="3">
        <v>39514</v>
      </c>
      <c r="C449" s="3">
        <v>44026</v>
      </c>
      <c r="D449" s="2">
        <f t="shared" si="13"/>
        <v>12</v>
      </c>
      <c r="E449" s="4" t="str" cm="1">
        <f t="array" ref="E449">_xlfn.IFS(
D449&lt;=5,"Newcomer",
D449&lt;=10,"Proficient",
D449&gt;10,"Expert"
)</f>
        <v>Expert</v>
      </c>
      <c r="F449" s="2" t="s">
        <v>14</v>
      </c>
      <c r="G449" s="5" t="s">
        <v>62</v>
      </c>
      <c r="H449" s="5" t="s">
        <v>63</v>
      </c>
      <c r="I449" s="2">
        <v>35</v>
      </c>
      <c r="J449" s="2" t="s">
        <v>24</v>
      </c>
      <c r="K449" s="2" t="s">
        <v>25</v>
      </c>
      <c r="L449" s="2" t="s">
        <v>19</v>
      </c>
      <c r="M449" s="4" t="str">
        <f t="shared" si="12"/>
        <v>Voluntary</v>
      </c>
      <c r="N449" s="23" t="s">
        <v>26</v>
      </c>
    </row>
    <row r="450" spans="1:14" x14ac:dyDescent="0.25">
      <c r="A450" s="22">
        <v>3169</v>
      </c>
      <c r="B450" s="3">
        <v>33565</v>
      </c>
      <c r="C450" s="3">
        <v>43992</v>
      </c>
      <c r="D450" s="2">
        <f t="shared" si="13"/>
        <v>29</v>
      </c>
      <c r="E450" s="4" t="str" cm="1">
        <f t="array" ref="E450">_xlfn.IFS(
D450&lt;=5,"Newcomer",
D450&lt;=10,"Proficient",
D450&gt;10,"Expert"
)</f>
        <v>Expert</v>
      </c>
      <c r="F450" s="2" t="s">
        <v>117</v>
      </c>
      <c r="G450" s="5" t="s">
        <v>62</v>
      </c>
      <c r="H450" s="5" t="s">
        <v>63</v>
      </c>
      <c r="I450" s="2">
        <v>10</v>
      </c>
      <c r="J450" s="2" t="s">
        <v>17</v>
      </c>
      <c r="K450" s="2" t="s">
        <v>18</v>
      </c>
      <c r="L450" s="2" t="s">
        <v>96</v>
      </c>
      <c r="M450" s="4" t="str">
        <f t="shared" ref="M450:M513" si="14">IF(OR(L450="Retirement",L450="Resignation"),"Voluntary","Involuntary")</f>
        <v>Involuntary</v>
      </c>
      <c r="N450" s="23" t="s">
        <v>26</v>
      </c>
    </row>
    <row r="451" spans="1:14" x14ac:dyDescent="0.25">
      <c r="A451" s="22">
        <v>3174</v>
      </c>
      <c r="B451" s="3">
        <v>39825</v>
      </c>
      <c r="C451" s="3">
        <v>43935</v>
      </c>
      <c r="D451" s="2">
        <f t="shared" ref="D451:D514" si="15">YEAR(C451)-YEAR(B451)</f>
        <v>11</v>
      </c>
      <c r="E451" s="4" t="str" cm="1">
        <f t="array" ref="E451">_xlfn.IFS(
D451&lt;=5,"Newcomer",
D451&lt;=10,"Proficient",
D451&gt;10,"Expert"
)</f>
        <v>Expert</v>
      </c>
      <c r="F451" s="2" t="s">
        <v>14</v>
      </c>
      <c r="G451" s="5" t="s">
        <v>62</v>
      </c>
      <c r="H451" s="5" t="s">
        <v>63</v>
      </c>
      <c r="I451" s="2">
        <v>35</v>
      </c>
      <c r="J451" s="2" t="s">
        <v>24</v>
      </c>
      <c r="K451" s="2" t="s">
        <v>25</v>
      </c>
      <c r="L451" s="2" t="s">
        <v>19</v>
      </c>
      <c r="M451" s="4" t="str">
        <f t="shared" si="14"/>
        <v>Voluntary</v>
      </c>
      <c r="N451" s="23" t="s">
        <v>26</v>
      </c>
    </row>
    <row r="452" spans="1:14" x14ac:dyDescent="0.25">
      <c r="A452" s="22">
        <v>3175</v>
      </c>
      <c r="B452" s="3">
        <v>33486</v>
      </c>
      <c r="C452" s="3">
        <v>44128</v>
      </c>
      <c r="D452" s="2">
        <f t="shared" si="15"/>
        <v>29</v>
      </c>
      <c r="E452" s="4" t="str" cm="1">
        <f t="array" ref="E452">_xlfn.IFS(
D452&lt;=5,"Newcomer",
D452&lt;=10,"Proficient",
D452&gt;10,"Expert"
)</f>
        <v>Expert</v>
      </c>
      <c r="F452" s="2" t="s">
        <v>115</v>
      </c>
      <c r="G452" s="5" t="s">
        <v>35</v>
      </c>
      <c r="H452" s="5" t="s">
        <v>76</v>
      </c>
      <c r="I452" s="2">
        <v>17</v>
      </c>
      <c r="J452" s="2" t="s">
        <v>24</v>
      </c>
      <c r="K452" s="2" t="s">
        <v>25</v>
      </c>
      <c r="L452" s="2" t="s">
        <v>19</v>
      </c>
      <c r="M452" s="4" t="str">
        <f t="shared" si="14"/>
        <v>Voluntary</v>
      </c>
      <c r="N452" s="23" t="s">
        <v>26</v>
      </c>
    </row>
    <row r="453" spans="1:14" x14ac:dyDescent="0.25">
      <c r="A453" s="22">
        <v>3183</v>
      </c>
      <c r="B453" s="3">
        <v>41117</v>
      </c>
      <c r="C453" s="3">
        <v>44024</v>
      </c>
      <c r="D453" s="2">
        <f t="shared" si="15"/>
        <v>8</v>
      </c>
      <c r="E453" s="4" t="str" cm="1">
        <f t="array" ref="E453">_xlfn.IFS(
D453&lt;=5,"Newcomer",
D453&lt;=10,"Proficient",
D453&gt;10,"Expert"
)</f>
        <v>Proficient</v>
      </c>
      <c r="F453" s="2" t="s">
        <v>115</v>
      </c>
      <c r="G453" s="5" t="s">
        <v>35</v>
      </c>
      <c r="H453" s="5" t="s">
        <v>76</v>
      </c>
      <c r="I453" s="2">
        <v>17</v>
      </c>
      <c r="J453" s="2" t="s">
        <v>24</v>
      </c>
      <c r="K453" s="2" t="s">
        <v>25</v>
      </c>
      <c r="L453" s="2" t="s">
        <v>19</v>
      </c>
      <c r="M453" s="4" t="str">
        <f t="shared" si="14"/>
        <v>Voluntary</v>
      </c>
      <c r="N453" s="23" t="s">
        <v>26</v>
      </c>
    </row>
    <row r="454" spans="1:14" x14ac:dyDescent="0.25">
      <c r="A454" s="22">
        <v>3184</v>
      </c>
      <c r="B454" s="3">
        <v>37836</v>
      </c>
      <c r="C454" s="3">
        <v>43866</v>
      </c>
      <c r="D454" s="2">
        <f t="shared" si="15"/>
        <v>17</v>
      </c>
      <c r="E454" s="4" t="str" cm="1">
        <f t="array" ref="E454">_xlfn.IFS(
D454&lt;=5,"Newcomer",
D454&lt;=10,"Proficient",
D454&gt;10,"Expert"
)</f>
        <v>Expert</v>
      </c>
      <c r="F454" s="2" t="s">
        <v>115</v>
      </c>
      <c r="G454" s="5" t="s">
        <v>35</v>
      </c>
      <c r="H454" s="5" t="s">
        <v>76</v>
      </c>
      <c r="I454" s="2">
        <v>17</v>
      </c>
      <c r="J454" s="2" t="s">
        <v>24</v>
      </c>
      <c r="K454" s="2" t="s">
        <v>25</v>
      </c>
      <c r="L454" s="2" t="s">
        <v>19</v>
      </c>
      <c r="M454" s="4" t="str">
        <f t="shared" si="14"/>
        <v>Voluntary</v>
      </c>
      <c r="N454" s="23" t="s">
        <v>26</v>
      </c>
    </row>
    <row r="455" spans="1:14" x14ac:dyDescent="0.25">
      <c r="A455" s="22">
        <v>3188</v>
      </c>
      <c r="B455" s="3">
        <v>35541</v>
      </c>
      <c r="C455" s="3">
        <v>43921</v>
      </c>
      <c r="D455" s="2">
        <f t="shared" si="15"/>
        <v>23</v>
      </c>
      <c r="E455" s="4" t="str" cm="1">
        <f t="array" ref="E455">_xlfn.IFS(
D455&lt;=5,"Newcomer",
D455&lt;=10,"Proficient",
D455&gt;10,"Expert"
)</f>
        <v>Expert</v>
      </c>
      <c r="F455" s="2" t="s">
        <v>69</v>
      </c>
      <c r="G455" s="5" t="s">
        <v>35</v>
      </c>
      <c r="H455" s="5" t="s">
        <v>76</v>
      </c>
      <c r="I455" s="2">
        <v>28</v>
      </c>
      <c r="J455" s="2" t="s">
        <v>24</v>
      </c>
      <c r="K455" s="2" t="s">
        <v>25</v>
      </c>
      <c r="L455" s="2" t="s">
        <v>19</v>
      </c>
      <c r="M455" s="4" t="str">
        <f t="shared" si="14"/>
        <v>Voluntary</v>
      </c>
      <c r="N455" s="23" t="s">
        <v>26</v>
      </c>
    </row>
    <row r="456" spans="1:14" x14ac:dyDescent="0.25">
      <c r="A456" s="22">
        <v>3197</v>
      </c>
      <c r="B456" s="3">
        <v>37086</v>
      </c>
      <c r="C456" s="3">
        <v>43978</v>
      </c>
      <c r="D456" s="2">
        <f t="shared" si="15"/>
        <v>19</v>
      </c>
      <c r="E456" s="4" t="str" cm="1">
        <f t="array" ref="E456">_xlfn.IFS(
D456&lt;=5,"Newcomer",
D456&lt;=10,"Proficient",
D456&gt;10,"Expert"
)</f>
        <v>Expert</v>
      </c>
      <c r="F456" s="2" t="s">
        <v>44</v>
      </c>
      <c r="G456" s="5" t="s">
        <v>42</v>
      </c>
      <c r="H456" s="5" t="s">
        <v>105</v>
      </c>
      <c r="I456" s="2">
        <v>18</v>
      </c>
      <c r="J456" s="2" t="s">
        <v>17</v>
      </c>
      <c r="K456" s="2" t="s">
        <v>18</v>
      </c>
      <c r="L456" s="2" t="s">
        <v>50</v>
      </c>
      <c r="M456" s="4" t="str">
        <f t="shared" si="14"/>
        <v>Voluntary</v>
      </c>
      <c r="N456" s="23" t="s">
        <v>26</v>
      </c>
    </row>
    <row r="457" spans="1:14" x14ac:dyDescent="0.25">
      <c r="A457" s="22">
        <v>3201</v>
      </c>
      <c r="B457" s="3">
        <v>37238</v>
      </c>
      <c r="C457" s="3">
        <v>44031</v>
      </c>
      <c r="D457" s="2">
        <f t="shared" si="15"/>
        <v>19</v>
      </c>
      <c r="E457" s="4" t="str" cm="1">
        <f t="array" ref="E457">_xlfn.IFS(
D457&lt;=5,"Newcomer",
D457&lt;=10,"Proficient",
D457&gt;10,"Expert"
)</f>
        <v>Expert</v>
      </c>
      <c r="F457" s="2" t="s">
        <v>44</v>
      </c>
      <c r="G457" s="5" t="s">
        <v>35</v>
      </c>
      <c r="H457" s="5" t="s">
        <v>76</v>
      </c>
      <c r="I457" s="2">
        <v>18</v>
      </c>
      <c r="J457" s="2" t="s">
        <v>24</v>
      </c>
      <c r="K457" s="2" t="s">
        <v>25</v>
      </c>
      <c r="L457" s="2" t="s">
        <v>19</v>
      </c>
      <c r="M457" s="4" t="str">
        <f t="shared" si="14"/>
        <v>Voluntary</v>
      </c>
      <c r="N457" s="23" t="s">
        <v>26</v>
      </c>
    </row>
    <row r="458" spans="1:14" x14ac:dyDescent="0.25">
      <c r="A458" s="22">
        <v>3202</v>
      </c>
      <c r="B458" s="3">
        <v>35996</v>
      </c>
      <c r="C458" s="3">
        <v>44188</v>
      </c>
      <c r="D458" s="2">
        <f t="shared" si="15"/>
        <v>22</v>
      </c>
      <c r="E458" s="4" t="str" cm="1">
        <f t="array" ref="E458">_xlfn.IFS(
D458&lt;=5,"Newcomer",
D458&lt;=10,"Proficient",
D458&gt;10,"Expert"
)</f>
        <v>Expert</v>
      </c>
      <c r="F458" s="2" t="s">
        <v>77</v>
      </c>
      <c r="G458" s="5" t="s">
        <v>35</v>
      </c>
      <c r="H458" s="5" t="s">
        <v>76</v>
      </c>
      <c r="I458" s="2">
        <v>30</v>
      </c>
      <c r="J458" s="2" t="s">
        <v>24</v>
      </c>
      <c r="K458" s="2" t="s">
        <v>25</v>
      </c>
      <c r="L458" s="2" t="s">
        <v>19</v>
      </c>
      <c r="M458" s="4" t="str">
        <f t="shared" si="14"/>
        <v>Voluntary</v>
      </c>
      <c r="N458" s="23" t="s">
        <v>26</v>
      </c>
    </row>
    <row r="459" spans="1:14" x14ac:dyDescent="0.25">
      <c r="A459" s="22">
        <v>3209</v>
      </c>
      <c r="B459" s="3">
        <v>38421</v>
      </c>
      <c r="C459" s="3">
        <v>44181</v>
      </c>
      <c r="D459" s="2">
        <f t="shared" si="15"/>
        <v>15</v>
      </c>
      <c r="E459" s="4" t="str" cm="1">
        <f t="array" ref="E459">_xlfn.IFS(
D459&lt;=5,"Newcomer",
D459&lt;=10,"Proficient",
D459&gt;10,"Expert"
)</f>
        <v>Expert</v>
      </c>
      <c r="F459" s="2" t="s">
        <v>44</v>
      </c>
      <c r="G459" s="5" t="s">
        <v>35</v>
      </c>
      <c r="H459" s="5" t="s">
        <v>76</v>
      </c>
      <c r="I459" s="2">
        <v>18</v>
      </c>
      <c r="J459" s="2" t="s">
        <v>24</v>
      </c>
      <c r="K459" s="2" t="s">
        <v>25</v>
      </c>
      <c r="L459" s="2" t="s">
        <v>19</v>
      </c>
      <c r="M459" s="4" t="str">
        <f t="shared" si="14"/>
        <v>Voluntary</v>
      </c>
      <c r="N459" s="23" t="s">
        <v>26</v>
      </c>
    </row>
    <row r="460" spans="1:14" x14ac:dyDescent="0.25">
      <c r="A460" s="22">
        <v>3216</v>
      </c>
      <c r="B460" s="3">
        <v>33203</v>
      </c>
      <c r="C460" s="3">
        <v>43997</v>
      </c>
      <c r="D460" s="2">
        <f t="shared" si="15"/>
        <v>30</v>
      </c>
      <c r="E460" s="4" t="str" cm="1">
        <f t="array" ref="E460">_xlfn.IFS(
D460&lt;=5,"Newcomer",
D460&lt;=10,"Proficient",
D460&gt;10,"Expert"
)</f>
        <v>Expert</v>
      </c>
      <c r="F460" s="2" t="s">
        <v>49</v>
      </c>
      <c r="G460" s="5" t="s">
        <v>42</v>
      </c>
      <c r="H460" s="5" t="s">
        <v>105</v>
      </c>
      <c r="I460" s="2">
        <v>12</v>
      </c>
      <c r="J460" s="2" t="s">
        <v>24</v>
      </c>
      <c r="K460" s="2" t="s">
        <v>25</v>
      </c>
      <c r="L460" s="2" t="s">
        <v>19</v>
      </c>
      <c r="M460" s="4" t="str">
        <f t="shared" si="14"/>
        <v>Voluntary</v>
      </c>
      <c r="N460" s="23" t="s">
        <v>26</v>
      </c>
    </row>
    <row r="461" spans="1:14" x14ac:dyDescent="0.25">
      <c r="A461" s="22">
        <v>3220</v>
      </c>
      <c r="B461" s="3">
        <v>38997</v>
      </c>
      <c r="C461" s="3">
        <v>44031</v>
      </c>
      <c r="D461" s="2">
        <f t="shared" si="15"/>
        <v>14</v>
      </c>
      <c r="E461" s="4" t="str" cm="1">
        <f t="array" ref="E461">_xlfn.IFS(
D461&lt;=5,"Newcomer",
D461&lt;=10,"Proficient",
D461&gt;10,"Expert"
)</f>
        <v>Expert</v>
      </c>
      <c r="F461" s="2" t="s">
        <v>73</v>
      </c>
      <c r="G461" s="5" t="s">
        <v>35</v>
      </c>
      <c r="H461" s="5" t="s">
        <v>76</v>
      </c>
      <c r="I461" s="2">
        <v>32</v>
      </c>
      <c r="J461" s="2" t="s">
        <v>24</v>
      </c>
      <c r="K461" s="2" t="s">
        <v>25</v>
      </c>
      <c r="L461" s="2" t="s">
        <v>19</v>
      </c>
      <c r="M461" s="4" t="str">
        <f t="shared" si="14"/>
        <v>Voluntary</v>
      </c>
      <c r="N461" s="23" t="s">
        <v>26</v>
      </c>
    </row>
    <row r="462" spans="1:14" x14ac:dyDescent="0.25">
      <c r="A462" s="22">
        <v>3226</v>
      </c>
      <c r="B462" s="3">
        <v>41938</v>
      </c>
      <c r="C462" s="3">
        <v>43972</v>
      </c>
      <c r="D462" s="2">
        <f t="shared" si="15"/>
        <v>6</v>
      </c>
      <c r="E462" s="4" t="str" cm="1">
        <f t="array" ref="E462">_xlfn.IFS(
D462&lt;=5,"Newcomer",
D462&lt;=10,"Proficient",
D462&gt;10,"Expert"
)</f>
        <v>Proficient</v>
      </c>
      <c r="F462" s="2" t="s">
        <v>30</v>
      </c>
      <c r="G462" s="5" t="s">
        <v>35</v>
      </c>
      <c r="H462" s="5" t="s">
        <v>76</v>
      </c>
      <c r="I462" s="2">
        <v>37</v>
      </c>
      <c r="J462" s="2" t="s">
        <v>24</v>
      </c>
      <c r="K462" s="2" t="s">
        <v>25</v>
      </c>
      <c r="L462" s="2" t="s">
        <v>19</v>
      </c>
      <c r="M462" s="4" t="str">
        <f t="shared" si="14"/>
        <v>Voluntary</v>
      </c>
      <c r="N462" s="23" t="s">
        <v>26</v>
      </c>
    </row>
    <row r="463" spans="1:14" x14ac:dyDescent="0.25">
      <c r="A463" s="22">
        <v>3233</v>
      </c>
      <c r="B463" s="3">
        <v>36863</v>
      </c>
      <c r="C463" s="3">
        <v>43937</v>
      </c>
      <c r="D463" s="2">
        <f t="shared" si="15"/>
        <v>20</v>
      </c>
      <c r="E463" s="4" t="str" cm="1">
        <f t="array" ref="E463">_xlfn.IFS(
D463&lt;=5,"Newcomer",
D463&lt;=10,"Proficient",
D463&gt;10,"Expert"
)</f>
        <v>Expert</v>
      </c>
      <c r="F463" s="2" t="s">
        <v>41</v>
      </c>
      <c r="G463" s="5" t="s">
        <v>42</v>
      </c>
      <c r="H463" s="5" t="s">
        <v>105</v>
      </c>
      <c r="I463" s="2">
        <v>15</v>
      </c>
      <c r="J463" s="2" t="s">
        <v>24</v>
      </c>
      <c r="K463" s="2" t="s">
        <v>25</v>
      </c>
      <c r="L463" s="2" t="s">
        <v>19</v>
      </c>
      <c r="M463" s="4" t="str">
        <f t="shared" si="14"/>
        <v>Voluntary</v>
      </c>
      <c r="N463" s="23" t="s">
        <v>26</v>
      </c>
    </row>
    <row r="464" spans="1:14" x14ac:dyDescent="0.25">
      <c r="A464" s="22">
        <v>3234</v>
      </c>
      <c r="B464" s="3">
        <v>34953</v>
      </c>
      <c r="C464" s="3">
        <v>44169</v>
      </c>
      <c r="D464" s="2">
        <f t="shared" si="15"/>
        <v>25</v>
      </c>
      <c r="E464" s="4" t="str" cm="1">
        <f t="array" ref="E464">_xlfn.IFS(
D464&lt;=5,"Newcomer",
D464&lt;=10,"Proficient",
D464&gt;10,"Expert"
)</f>
        <v>Expert</v>
      </c>
      <c r="F464" s="2" t="s">
        <v>90</v>
      </c>
      <c r="G464" s="5" t="s">
        <v>35</v>
      </c>
      <c r="H464" s="5" t="s">
        <v>76</v>
      </c>
      <c r="I464" s="2">
        <v>26</v>
      </c>
      <c r="J464" s="2" t="s">
        <v>24</v>
      </c>
      <c r="K464" s="2" t="s">
        <v>25</v>
      </c>
      <c r="L464" s="2" t="s">
        <v>19</v>
      </c>
      <c r="M464" s="4" t="str">
        <f t="shared" si="14"/>
        <v>Voluntary</v>
      </c>
      <c r="N464" s="23" t="s">
        <v>26</v>
      </c>
    </row>
    <row r="465" spans="1:14" x14ac:dyDescent="0.25">
      <c r="A465" s="22">
        <v>3235</v>
      </c>
      <c r="B465" s="3">
        <v>40320</v>
      </c>
      <c r="C465" s="3">
        <v>44122</v>
      </c>
      <c r="D465" s="2">
        <f t="shared" si="15"/>
        <v>10</v>
      </c>
      <c r="E465" s="4" t="str" cm="1">
        <f t="array" ref="E465">_xlfn.IFS(
D465&lt;=5,"Newcomer",
D465&lt;=10,"Proficient",
D465&gt;10,"Expert"
)</f>
        <v>Proficient</v>
      </c>
      <c r="F465" s="2" t="s">
        <v>78</v>
      </c>
      <c r="G465" s="5" t="s">
        <v>35</v>
      </c>
      <c r="H465" s="5" t="s">
        <v>76</v>
      </c>
      <c r="I465" s="2">
        <v>21</v>
      </c>
      <c r="J465" s="2" t="s">
        <v>24</v>
      </c>
      <c r="K465" s="2" t="s">
        <v>25</v>
      </c>
      <c r="L465" s="2" t="s">
        <v>19</v>
      </c>
      <c r="M465" s="4" t="str">
        <f t="shared" si="14"/>
        <v>Voluntary</v>
      </c>
      <c r="N465" s="23" t="s">
        <v>26</v>
      </c>
    </row>
    <row r="466" spans="1:14" x14ac:dyDescent="0.25">
      <c r="A466" s="22">
        <v>3236</v>
      </c>
      <c r="B466" s="3">
        <v>39629</v>
      </c>
      <c r="C466" s="3">
        <v>43960</v>
      </c>
      <c r="D466" s="2">
        <f t="shared" si="15"/>
        <v>12</v>
      </c>
      <c r="E466" s="4" t="str" cm="1">
        <f t="array" ref="E466">_xlfn.IFS(
D466&lt;=5,"Newcomer",
D466&lt;=10,"Proficient",
D466&gt;10,"Expert"
)</f>
        <v>Expert</v>
      </c>
      <c r="F466" s="2" t="s">
        <v>90</v>
      </c>
      <c r="G466" s="5" t="s">
        <v>35</v>
      </c>
      <c r="H466" s="5" t="s">
        <v>76</v>
      </c>
      <c r="I466" s="2">
        <v>26</v>
      </c>
      <c r="J466" s="2" t="s">
        <v>24</v>
      </c>
      <c r="K466" s="2" t="s">
        <v>25</v>
      </c>
      <c r="L466" s="2" t="s">
        <v>19</v>
      </c>
      <c r="M466" s="4" t="str">
        <f t="shared" si="14"/>
        <v>Voluntary</v>
      </c>
      <c r="N466" s="23" t="s">
        <v>26</v>
      </c>
    </row>
    <row r="467" spans="1:14" x14ac:dyDescent="0.25">
      <c r="A467" s="22">
        <v>3241</v>
      </c>
      <c r="B467" s="3">
        <v>33240</v>
      </c>
      <c r="C467" s="3">
        <v>44042</v>
      </c>
      <c r="D467" s="2">
        <f t="shared" si="15"/>
        <v>29</v>
      </c>
      <c r="E467" s="4" t="str" cm="1">
        <f t="array" ref="E467">_xlfn.IFS(
D467&lt;=5,"Newcomer",
D467&lt;=10,"Proficient",
D467&gt;10,"Expert"
)</f>
        <v>Expert</v>
      </c>
      <c r="F467" s="2" t="s">
        <v>114</v>
      </c>
      <c r="G467" s="5" t="s">
        <v>35</v>
      </c>
      <c r="H467" s="5" t="s">
        <v>76</v>
      </c>
      <c r="I467" s="2">
        <v>27</v>
      </c>
      <c r="J467" s="2" t="s">
        <v>24</v>
      </c>
      <c r="K467" s="2" t="s">
        <v>25</v>
      </c>
      <c r="L467" s="2" t="s">
        <v>96</v>
      </c>
      <c r="M467" s="4" t="str">
        <f t="shared" si="14"/>
        <v>Involuntary</v>
      </c>
      <c r="N467" s="23" t="s">
        <v>26</v>
      </c>
    </row>
    <row r="468" spans="1:14" x14ac:dyDescent="0.25">
      <c r="A468" s="22">
        <v>3248</v>
      </c>
      <c r="B468" s="3">
        <v>41642</v>
      </c>
      <c r="C468" s="3">
        <v>43973</v>
      </c>
      <c r="D468" s="2">
        <f t="shared" si="15"/>
        <v>6</v>
      </c>
      <c r="E468" s="4" t="str" cm="1">
        <f t="array" ref="E468">_xlfn.IFS(
D468&lt;=5,"Newcomer",
D468&lt;=10,"Proficient",
D468&gt;10,"Expert"
)</f>
        <v>Proficient</v>
      </c>
      <c r="F468" s="2" t="s">
        <v>14</v>
      </c>
      <c r="G468" s="5" t="s">
        <v>62</v>
      </c>
      <c r="H468" s="5" t="s">
        <v>63</v>
      </c>
      <c r="I468" s="2">
        <v>35</v>
      </c>
      <c r="J468" s="2" t="s">
        <v>24</v>
      </c>
      <c r="K468" s="2" t="s">
        <v>25</v>
      </c>
      <c r="L468" s="2" t="s">
        <v>19</v>
      </c>
      <c r="M468" s="4" t="str">
        <f t="shared" si="14"/>
        <v>Voluntary</v>
      </c>
      <c r="N468" s="23" t="s">
        <v>26</v>
      </c>
    </row>
    <row r="469" spans="1:14" x14ac:dyDescent="0.25">
      <c r="A469" s="22">
        <v>3262</v>
      </c>
      <c r="B469" s="3">
        <v>33991</v>
      </c>
      <c r="C469" s="3">
        <v>43913</v>
      </c>
      <c r="D469" s="2">
        <f t="shared" si="15"/>
        <v>27</v>
      </c>
      <c r="E469" s="4" t="str" cm="1">
        <f t="array" ref="E469">_xlfn.IFS(
D469&lt;=5,"Newcomer",
D469&lt;=10,"Proficient",
D469&gt;10,"Expert"
)</f>
        <v>Expert</v>
      </c>
      <c r="F469" s="2" t="s">
        <v>44</v>
      </c>
      <c r="G469" s="5" t="s">
        <v>35</v>
      </c>
      <c r="H469" s="5" t="s">
        <v>76</v>
      </c>
      <c r="I469" s="2">
        <v>18</v>
      </c>
      <c r="J469" s="2" t="s">
        <v>24</v>
      </c>
      <c r="K469" s="2" t="s">
        <v>25</v>
      </c>
      <c r="L469" s="2" t="s">
        <v>19</v>
      </c>
      <c r="M469" s="4" t="str">
        <f t="shared" si="14"/>
        <v>Voluntary</v>
      </c>
      <c r="N469" s="23" t="s">
        <v>26</v>
      </c>
    </row>
    <row r="470" spans="1:14" x14ac:dyDescent="0.25">
      <c r="A470" s="22">
        <v>3268</v>
      </c>
      <c r="B470" s="3">
        <v>37240</v>
      </c>
      <c r="C470" s="3">
        <v>43955</v>
      </c>
      <c r="D470" s="2">
        <f t="shared" si="15"/>
        <v>19</v>
      </c>
      <c r="E470" s="4" t="str" cm="1">
        <f t="array" ref="E470">_xlfn.IFS(
D470&lt;=5,"Newcomer",
D470&lt;=10,"Proficient",
D470&gt;10,"Expert"
)</f>
        <v>Expert</v>
      </c>
      <c r="F470" s="2" t="s">
        <v>14</v>
      </c>
      <c r="G470" s="5" t="s">
        <v>62</v>
      </c>
      <c r="H470" s="5" t="s">
        <v>63</v>
      </c>
      <c r="I470" s="2">
        <v>35</v>
      </c>
      <c r="J470" s="2" t="s">
        <v>24</v>
      </c>
      <c r="K470" s="2" t="s">
        <v>25</v>
      </c>
      <c r="L470" s="2" t="s">
        <v>19</v>
      </c>
      <c r="M470" s="4" t="str">
        <f t="shared" si="14"/>
        <v>Voluntary</v>
      </c>
      <c r="N470" s="23" t="s">
        <v>26</v>
      </c>
    </row>
    <row r="471" spans="1:14" x14ac:dyDescent="0.25">
      <c r="A471" s="22">
        <v>3270</v>
      </c>
      <c r="B471" s="3">
        <v>38621</v>
      </c>
      <c r="C471" s="3">
        <v>44103</v>
      </c>
      <c r="D471" s="2">
        <f t="shared" si="15"/>
        <v>15</v>
      </c>
      <c r="E471" s="4" t="str" cm="1">
        <f t="array" ref="E471">_xlfn.IFS(
D471&lt;=5,"Newcomer",
D471&lt;=10,"Proficient",
D471&gt;10,"Expert"
)</f>
        <v>Expert</v>
      </c>
      <c r="F471" s="2" t="s">
        <v>14</v>
      </c>
      <c r="G471" s="5" t="s">
        <v>62</v>
      </c>
      <c r="H471" s="5" t="s">
        <v>63</v>
      </c>
      <c r="I471" s="2">
        <v>35</v>
      </c>
      <c r="J471" s="2" t="s">
        <v>24</v>
      </c>
      <c r="K471" s="2" t="s">
        <v>25</v>
      </c>
      <c r="L471" s="2" t="s">
        <v>19</v>
      </c>
      <c r="M471" s="4" t="str">
        <f t="shared" si="14"/>
        <v>Voluntary</v>
      </c>
      <c r="N471" s="23" t="s">
        <v>26</v>
      </c>
    </row>
    <row r="472" spans="1:14" x14ac:dyDescent="0.25">
      <c r="A472" s="22">
        <v>3271</v>
      </c>
      <c r="B472" s="3">
        <v>34626</v>
      </c>
      <c r="C472" s="3">
        <v>44135</v>
      </c>
      <c r="D472" s="2">
        <f t="shared" si="15"/>
        <v>26</v>
      </c>
      <c r="E472" s="4" t="str" cm="1">
        <f t="array" ref="E472">_xlfn.IFS(
D472&lt;=5,"Newcomer",
D472&lt;=10,"Proficient",
D472&gt;10,"Expert"
)</f>
        <v>Expert</v>
      </c>
      <c r="F472" s="2" t="s">
        <v>53</v>
      </c>
      <c r="G472" s="5" t="s">
        <v>35</v>
      </c>
      <c r="H472" s="5" t="s">
        <v>76</v>
      </c>
      <c r="I472" s="2">
        <v>31</v>
      </c>
      <c r="J472" s="2" t="s">
        <v>17</v>
      </c>
      <c r="K472" s="2" t="s">
        <v>18</v>
      </c>
      <c r="L472" s="2" t="s">
        <v>50</v>
      </c>
      <c r="M472" s="4" t="str">
        <f t="shared" si="14"/>
        <v>Voluntary</v>
      </c>
      <c r="N472" s="23" t="s">
        <v>26</v>
      </c>
    </row>
    <row r="473" spans="1:14" x14ac:dyDescent="0.25">
      <c r="A473" s="22">
        <v>3272</v>
      </c>
      <c r="B473" s="3">
        <v>41611</v>
      </c>
      <c r="C473" s="3">
        <v>43930</v>
      </c>
      <c r="D473" s="2">
        <f t="shared" si="15"/>
        <v>7</v>
      </c>
      <c r="E473" s="4" t="str" cm="1">
        <f t="array" ref="E473">_xlfn.IFS(
D473&lt;=5,"Newcomer",
D473&lt;=10,"Proficient",
D473&gt;10,"Expert"
)</f>
        <v>Proficient</v>
      </c>
      <c r="F473" s="2" t="s">
        <v>14</v>
      </c>
      <c r="G473" s="5" t="s">
        <v>62</v>
      </c>
      <c r="H473" s="5" t="s">
        <v>63</v>
      </c>
      <c r="I473" s="2">
        <v>35</v>
      </c>
      <c r="J473" s="2" t="s">
        <v>24</v>
      </c>
      <c r="K473" s="2" t="s">
        <v>25</v>
      </c>
      <c r="L473" s="2" t="s">
        <v>19</v>
      </c>
      <c r="M473" s="4" t="str">
        <f t="shared" si="14"/>
        <v>Voluntary</v>
      </c>
      <c r="N473" s="23" t="s">
        <v>26</v>
      </c>
    </row>
    <row r="474" spans="1:14" x14ac:dyDescent="0.25">
      <c r="A474" s="22">
        <v>3273</v>
      </c>
      <c r="B474" s="3">
        <v>40404</v>
      </c>
      <c r="C474" s="3">
        <v>43982</v>
      </c>
      <c r="D474" s="2">
        <f t="shared" si="15"/>
        <v>10</v>
      </c>
      <c r="E474" s="4" t="str" cm="1">
        <f t="array" ref="E474">_xlfn.IFS(
D474&lt;=5,"Newcomer",
D474&lt;=10,"Proficient",
D474&gt;10,"Expert"
)</f>
        <v>Proficient</v>
      </c>
      <c r="F474" s="2" t="s">
        <v>14</v>
      </c>
      <c r="G474" s="5" t="s">
        <v>62</v>
      </c>
      <c r="H474" s="5" t="s">
        <v>63</v>
      </c>
      <c r="I474" s="2">
        <v>35</v>
      </c>
      <c r="J474" s="2" t="s">
        <v>24</v>
      </c>
      <c r="K474" s="2" t="s">
        <v>25</v>
      </c>
      <c r="L474" s="2" t="s">
        <v>96</v>
      </c>
      <c r="M474" s="4" t="str">
        <f t="shared" si="14"/>
        <v>Involuntary</v>
      </c>
      <c r="N474" s="23" t="s">
        <v>26</v>
      </c>
    </row>
    <row r="475" spans="1:14" x14ac:dyDescent="0.25">
      <c r="A475" s="22">
        <v>3275</v>
      </c>
      <c r="B475" s="3">
        <v>40500</v>
      </c>
      <c r="C475" s="3">
        <v>43987</v>
      </c>
      <c r="D475" s="2">
        <f t="shared" si="15"/>
        <v>10</v>
      </c>
      <c r="E475" s="4" t="str" cm="1">
        <f t="array" ref="E475">_xlfn.IFS(
D475&lt;=5,"Newcomer",
D475&lt;=10,"Proficient",
D475&gt;10,"Expert"
)</f>
        <v>Proficient</v>
      </c>
      <c r="F475" s="2" t="s">
        <v>30</v>
      </c>
      <c r="G475" s="5" t="s">
        <v>42</v>
      </c>
      <c r="H475" s="5" t="s">
        <v>105</v>
      </c>
      <c r="I475" s="2">
        <v>46</v>
      </c>
      <c r="J475" s="2" t="s">
        <v>17</v>
      </c>
      <c r="K475" s="2" t="s">
        <v>18</v>
      </c>
      <c r="L475" s="2" t="s">
        <v>50</v>
      </c>
      <c r="M475" s="4" t="str">
        <f t="shared" si="14"/>
        <v>Voluntary</v>
      </c>
      <c r="N475" s="23" t="s">
        <v>26</v>
      </c>
    </row>
    <row r="476" spans="1:14" x14ac:dyDescent="0.25">
      <c r="A476" s="22">
        <v>3294</v>
      </c>
      <c r="B476" s="3">
        <v>37501</v>
      </c>
      <c r="C476" s="3">
        <v>43859</v>
      </c>
      <c r="D476" s="2">
        <f t="shared" si="15"/>
        <v>18</v>
      </c>
      <c r="E476" s="4" t="str" cm="1">
        <f t="array" ref="E476">_xlfn.IFS(
D476&lt;=5,"Newcomer",
D476&lt;=10,"Proficient",
D476&gt;10,"Expert"
)</f>
        <v>Expert</v>
      </c>
      <c r="F476" s="2" t="s">
        <v>27</v>
      </c>
      <c r="G476" s="5" t="s">
        <v>42</v>
      </c>
      <c r="H476" s="5" t="s">
        <v>105</v>
      </c>
      <c r="I476" s="2">
        <v>16</v>
      </c>
      <c r="J476" s="2" t="s">
        <v>24</v>
      </c>
      <c r="K476" s="2" t="s">
        <v>25</v>
      </c>
      <c r="L476" s="2" t="s">
        <v>96</v>
      </c>
      <c r="M476" s="4" t="str">
        <f t="shared" si="14"/>
        <v>Involuntary</v>
      </c>
      <c r="N476" s="23" t="s">
        <v>26</v>
      </c>
    </row>
    <row r="477" spans="1:14" x14ac:dyDescent="0.25">
      <c r="A477" s="22">
        <v>3296</v>
      </c>
      <c r="B477" s="3">
        <v>39419</v>
      </c>
      <c r="C477" s="3">
        <v>43831</v>
      </c>
      <c r="D477" s="2">
        <f t="shared" si="15"/>
        <v>13</v>
      </c>
      <c r="E477" s="4" t="str" cm="1">
        <f t="array" ref="E477">_xlfn.IFS(
D477&lt;=5,"Newcomer",
D477&lt;=10,"Proficient",
D477&gt;10,"Expert"
)</f>
        <v>Expert</v>
      </c>
      <c r="F477" s="2" t="s">
        <v>70</v>
      </c>
      <c r="G477" s="5" t="s">
        <v>35</v>
      </c>
      <c r="H477" s="5" t="s">
        <v>76</v>
      </c>
      <c r="I477" s="2">
        <v>6</v>
      </c>
      <c r="J477" s="2" t="s">
        <v>24</v>
      </c>
      <c r="K477" s="2" t="s">
        <v>25</v>
      </c>
      <c r="L477" s="2" t="s">
        <v>96</v>
      </c>
      <c r="M477" s="4" t="str">
        <f t="shared" si="14"/>
        <v>Involuntary</v>
      </c>
      <c r="N477" s="23" t="s">
        <v>26</v>
      </c>
    </row>
    <row r="478" spans="1:14" x14ac:dyDescent="0.25">
      <c r="A478" s="22">
        <v>3310</v>
      </c>
      <c r="B478" s="3">
        <v>41790</v>
      </c>
      <c r="C478" s="3">
        <v>44162</v>
      </c>
      <c r="D478" s="2">
        <f t="shared" si="15"/>
        <v>6</v>
      </c>
      <c r="E478" s="4" t="str" cm="1">
        <f t="array" ref="E478">_xlfn.IFS(
D478&lt;=5,"Newcomer",
D478&lt;=10,"Proficient",
D478&gt;10,"Expert"
)</f>
        <v>Proficient</v>
      </c>
      <c r="F478" s="2" t="s">
        <v>79</v>
      </c>
      <c r="G478" s="5" t="s">
        <v>35</v>
      </c>
      <c r="H478" s="5" t="s">
        <v>76</v>
      </c>
      <c r="I478" s="2">
        <v>25</v>
      </c>
      <c r="J478" s="2" t="s">
        <v>24</v>
      </c>
      <c r="K478" s="2" t="s">
        <v>25</v>
      </c>
      <c r="L478" s="2" t="s">
        <v>96</v>
      </c>
      <c r="M478" s="4" t="str">
        <f t="shared" si="14"/>
        <v>Involuntary</v>
      </c>
      <c r="N478" s="23" t="s">
        <v>26</v>
      </c>
    </row>
    <row r="479" spans="1:14" x14ac:dyDescent="0.25">
      <c r="A479" s="22">
        <v>3327</v>
      </c>
      <c r="B479" s="3">
        <v>35439</v>
      </c>
      <c r="C479" s="3">
        <v>43956</v>
      </c>
      <c r="D479" s="2">
        <f t="shared" si="15"/>
        <v>23</v>
      </c>
      <c r="E479" s="4" t="str" cm="1">
        <f t="array" ref="E479">_xlfn.IFS(
D479&lt;=5,"Newcomer",
D479&lt;=10,"Proficient",
D479&gt;10,"Expert"
)</f>
        <v>Expert</v>
      </c>
      <c r="F479" s="2" t="s">
        <v>103</v>
      </c>
      <c r="G479" s="5" t="s">
        <v>42</v>
      </c>
      <c r="H479" s="5" t="s">
        <v>105</v>
      </c>
      <c r="I479" s="2">
        <v>2</v>
      </c>
      <c r="J479" s="2" t="s">
        <v>24</v>
      </c>
      <c r="K479" s="2" t="s">
        <v>25</v>
      </c>
      <c r="L479" s="2" t="s">
        <v>96</v>
      </c>
      <c r="M479" s="4" t="str">
        <f t="shared" si="14"/>
        <v>Involuntary</v>
      </c>
      <c r="N479" s="23" t="s">
        <v>26</v>
      </c>
    </row>
    <row r="480" spans="1:14" x14ac:dyDescent="0.25">
      <c r="A480" s="22">
        <v>3330</v>
      </c>
      <c r="B480" s="3">
        <v>40924</v>
      </c>
      <c r="C480" s="3">
        <v>44113</v>
      </c>
      <c r="D480" s="2">
        <f t="shared" si="15"/>
        <v>8</v>
      </c>
      <c r="E480" s="4" t="str" cm="1">
        <f t="array" ref="E480">_xlfn.IFS(
D480&lt;=5,"Newcomer",
D480&lt;=10,"Proficient",
D480&gt;10,"Expert"
)</f>
        <v>Proficient</v>
      </c>
      <c r="F480" s="2" t="s">
        <v>102</v>
      </c>
      <c r="G480" s="5" t="s">
        <v>42</v>
      </c>
      <c r="H480" s="5" t="s">
        <v>105</v>
      </c>
      <c r="I480" s="2">
        <v>1</v>
      </c>
      <c r="J480" s="2" t="s">
        <v>24</v>
      </c>
      <c r="K480" s="2" t="s">
        <v>25</v>
      </c>
      <c r="L480" s="2" t="s">
        <v>96</v>
      </c>
      <c r="M480" s="4" t="str">
        <f t="shared" si="14"/>
        <v>Involuntary</v>
      </c>
      <c r="N480" s="23" t="s">
        <v>26</v>
      </c>
    </row>
    <row r="481" spans="1:14" x14ac:dyDescent="0.25">
      <c r="A481" s="22">
        <v>3338</v>
      </c>
      <c r="B481" s="3">
        <v>36229</v>
      </c>
      <c r="C481" s="3">
        <v>43838</v>
      </c>
      <c r="D481" s="2">
        <f t="shared" si="15"/>
        <v>21</v>
      </c>
      <c r="E481" s="4" t="str" cm="1">
        <f t="array" ref="E481">_xlfn.IFS(
D481&lt;=5,"Newcomer",
D481&lt;=10,"Proficient",
D481&gt;10,"Expert"
)</f>
        <v>Expert</v>
      </c>
      <c r="F481" s="2" t="s">
        <v>115</v>
      </c>
      <c r="G481" s="5" t="s">
        <v>35</v>
      </c>
      <c r="H481" s="5" t="s">
        <v>76</v>
      </c>
      <c r="I481" s="2">
        <v>17</v>
      </c>
      <c r="J481" s="2" t="s">
        <v>24</v>
      </c>
      <c r="K481" s="2" t="s">
        <v>25</v>
      </c>
      <c r="L481" s="2" t="s">
        <v>96</v>
      </c>
      <c r="M481" s="4" t="str">
        <f t="shared" si="14"/>
        <v>Involuntary</v>
      </c>
      <c r="N481" s="23" t="s">
        <v>26</v>
      </c>
    </row>
    <row r="482" spans="1:14" x14ac:dyDescent="0.25">
      <c r="A482" s="22">
        <v>3346</v>
      </c>
      <c r="B482" s="3">
        <v>40596</v>
      </c>
      <c r="C482" s="3">
        <v>44124</v>
      </c>
      <c r="D482" s="2">
        <f t="shared" si="15"/>
        <v>9</v>
      </c>
      <c r="E482" s="4" t="str" cm="1">
        <f t="array" ref="E482">_xlfn.IFS(
D482&lt;=5,"Newcomer",
D482&lt;=10,"Proficient",
D482&gt;10,"Expert"
)</f>
        <v>Proficient</v>
      </c>
      <c r="F482" s="2" t="s">
        <v>41</v>
      </c>
      <c r="G482" s="5" t="s">
        <v>42</v>
      </c>
      <c r="H482" s="5" t="s">
        <v>105</v>
      </c>
      <c r="I482" s="2">
        <v>15</v>
      </c>
      <c r="J482" s="2" t="s">
        <v>24</v>
      </c>
      <c r="K482" s="2" t="s">
        <v>25</v>
      </c>
      <c r="L482" s="2" t="s">
        <v>96</v>
      </c>
      <c r="M482" s="4" t="str">
        <f t="shared" si="14"/>
        <v>Involuntary</v>
      </c>
      <c r="N482" s="23" t="s">
        <v>26</v>
      </c>
    </row>
    <row r="483" spans="1:14" x14ac:dyDescent="0.25">
      <c r="A483" s="22">
        <v>3350</v>
      </c>
      <c r="B483" s="3">
        <v>37144</v>
      </c>
      <c r="C483" s="3">
        <v>44142</v>
      </c>
      <c r="D483" s="2">
        <f t="shared" si="15"/>
        <v>19</v>
      </c>
      <c r="E483" s="4" t="str" cm="1">
        <f t="array" ref="E483">_xlfn.IFS(
D483&lt;=5,"Newcomer",
D483&lt;=10,"Proficient",
D483&gt;10,"Expert"
)</f>
        <v>Expert</v>
      </c>
      <c r="F483" s="2" t="s">
        <v>14</v>
      </c>
      <c r="G483" s="5" t="s">
        <v>62</v>
      </c>
      <c r="H483" s="5" t="s">
        <v>63</v>
      </c>
      <c r="I483" s="2">
        <v>35</v>
      </c>
      <c r="J483" s="2" t="s">
        <v>24</v>
      </c>
      <c r="K483" s="2" t="s">
        <v>25</v>
      </c>
      <c r="L483" s="2" t="s">
        <v>96</v>
      </c>
      <c r="M483" s="4" t="str">
        <f t="shared" si="14"/>
        <v>Involuntary</v>
      </c>
      <c r="N483" s="23" t="s">
        <v>26</v>
      </c>
    </row>
    <row r="484" spans="1:14" x14ac:dyDescent="0.25">
      <c r="A484" s="22">
        <v>3351</v>
      </c>
      <c r="B484" s="3">
        <v>37425</v>
      </c>
      <c r="C484" s="3">
        <v>43876</v>
      </c>
      <c r="D484" s="2">
        <f t="shared" si="15"/>
        <v>18</v>
      </c>
      <c r="E484" s="4" t="str" cm="1">
        <f t="array" ref="E484">_xlfn.IFS(
D484&lt;=5,"Newcomer",
D484&lt;=10,"Proficient",
D484&gt;10,"Expert"
)</f>
        <v>Expert</v>
      </c>
      <c r="F484" s="2" t="s">
        <v>90</v>
      </c>
      <c r="G484" s="5" t="s">
        <v>35</v>
      </c>
      <c r="H484" s="5" t="s">
        <v>76</v>
      </c>
      <c r="I484" s="2">
        <v>26</v>
      </c>
      <c r="J484" s="2" t="s">
        <v>24</v>
      </c>
      <c r="K484" s="2" t="s">
        <v>25</v>
      </c>
      <c r="L484" s="2" t="s">
        <v>96</v>
      </c>
      <c r="M484" s="4" t="str">
        <f t="shared" si="14"/>
        <v>Involuntary</v>
      </c>
      <c r="N484" s="23" t="s">
        <v>26</v>
      </c>
    </row>
    <row r="485" spans="1:14" x14ac:dyDescent="0.25">
      <c r="A485" s="22">
        <v>3356</v>
      </c>
      <c r="B485" s="3">
        <v>34245</v>
      </c>
      <c r="C485" s="3">
        <v>44022</v>
      </c>
      <c r="D485" s="2">
        <f t="shared" si="15"/>
        <v>27</v>
      </c>
      <c r="E485" s="4" t="str" cm="1">
        <f t="array" ref="E485">_xlfn.IFS(
D485&lt;=5,"Newcomer",
D485&lt;=10,"Proficient",
D485&gt;10,"Expert"
)</f>
        <v>Expert</v>
      </c>
      <c r="F485" s="2" t="s">
        <v>44</v>
      </c>
      <c r="G485" s="5" t="s">
        <v>35</v>
      </c>
      <c r="H485" s="5" t="s">
        <v>76</v>
      </c>
      <c r="I485" s="2">
        <v>18</v>
      </c>
      <c r="J485" s="2" t="s">
        <v>24</v>
      </c>
      <c r="K485" s="2" t="s">
        <v>25</v>
      </c>
      <c r="L485" s="2" t="s">
        <v>96</v>
      </c>
      <c r="M485" s="4" t="str">
        <f t="shared" si="14"/>
        <v>Involuntary</v>
      </c>
      <c r="N485" s="23" t="s">
        <v>26</v>
      </c>
    </row>
    <row r="486" spans="1:14" x14ac:dyDescent="0.25">
      <c r="A486" s="22">
        <v>3358</v>
      </c>
      <c r="B486" s="3">
        <v>41632</v>
      </c>
      <c r="C486" s="3">
        <v>43833</v>
      </c>
      <c r="D486" s="2">
        <f t="shared" si="15"/>
        <v>7</v>
      </c>
      <c r="E486" s="4" t="str" cm="1">
        <f t="array" ref="E486">_xlfn.IFS(
D486&lt;=5,"Newcomer",
D486&lt;=10,"Proficient",
D486&gt;10,"Expert"
)</f>
        <v>Proficient</v>
      </c>
      <c r="F486" s="2" t="s">
        <v>30</v>
      </c>
      <c r="G486" s="5" t="s">
        <v>35</v>
      </c>
      <c r="H486" s="5" t="s">
        <v>76</v>
      </c>
      <c r="I486" s="2">
        <v>37</v>
      </c>
      <c r="J486" s="2" t="s">
        <v>24</v>
      </c>
      <c r="K486" s="2" t="s">
        <v>25</v>
      </c>
      <c r="L486" s="2" t="s">
        <v>96</v>
      </c>
      <c r="M486" s="4" t="str">
        <f t="shared" si="14"/>
        <v>Involuntary</v>
      </c>
      <c r="N486" s="23" t="s">
        <v>26</v>
      </c>
    </row>
    <row r="487" spans="1:14" x14ac:dyDescent="0.25">
      <c r="A487" s="22">
        <v>3359</v>
      </c>
      <c r="B487" s="3">
        <v>36664</v>
      </c>
      <c r="C487" s="3">
        <v>43962</v>
      </c>
      <c r="D487" s="2">
        <f t="shared" si="15"/>
        <v>20</v>
      </c>
      <c r="E487" s="4" t="str" cm="1">
        <f t="array" ref="E487">_xlfn.IFS(
D487&lt;=5,"Newcomer",
D487&lt;=10,"Proficient",
D487&gt;10,"Expert"
)</f>
        <v>Expert</v>
      </c>
      <c r="F487" s="2" t="s">
        <v>100</v>
      </c>
      <c r="G487" s="5" t="s">
        <v>42</v>
      </c>
      <c r="H487" s="5" t="s">
        <v>43</v>
      </c>
      <c r="I487" s="2">
        <v>13</v>
      </c>
      <c r="J487" s="2" t="s">
        <v>17</v>
      </c>
      <c r="K487" s="2" t="s">
        <v>18</v>
      </c>
      <c r="L487" s="2" t="s">
        <v>96</v>
      </c>
      <c r="M487" s="4" t="str">
        <f t="shared" si="14"/>
        <v>Involuntary</v>
      </c>
      <c r="N487" s="23" t="s">
        <v>26</v>
      </c>
    </row>
    <row r="488" spans="1:14" x14ac:dyDescent="0.25">
      <c r="A488" s="22">
        <v>3361</v>
      </c>
      <c r="B488" s="3">
        <v>39889</v>
      </c>
      <c r="C488" s="3">
        <v>43910</v>
      </c>
      <c r="D488" s="2">
        <f t="shared" si="15"/>
        <v>11</v>
      </c>
      <c r="E488" s="4" t="str" cm="1">
        <f t="array" ref="E488">_xlfn.IFS(
D488&lt;=5,"Newcomer",
D488&lt;=10,"Proficient",
D488&gt;10,"Expert"
)</f>
        <v>Expert</v>
      </c>
      <c r="F488" s="2" t="s">
        <v>14</v>
      </c>
      <c r="G488" s="5" t="s">
        <v>62</v>
      </c>
      <c r="H488" s="5" t="s">
        <v>63</v>
      </c>
      <c r="I488" s="2">
        <v>35</v>
      </c>
      <c r="J488" s="2" t="s">
        <v>24</v>
      </c>
      <c r="K488" s="2" t="s">
        <v>25</v>
      </c>
      <c r="L488" s="2" t="s">
        <v>96</v>
      </c>
      <c r="M488" s="4" t="str">
        <f t="shared" si="14"/>
        <v>Involuntary</v>
      </c>
      <c r="N488" s="23" t="s">
        <v>26</v>
      </c>
    </row>
    <row r="489" spans="1:14" x14ac:dyDescent="0.25">
      <c r="A489" s="22">
        <v>3366</v>
      </c>
      <c r="B489" s="3">
        <v>40955</v>
      </c>
      <c r="C489" s="3">
        <v>44143</v>
      </c>
      <c r="D489" s="2">
        <f t="shared" si="15"/>
        <v>8</v>
      </c>
      <c r="E489" s="4" t="str" cm="1">
        <f t="array" ref="E489">_xlfn.IFS(
D489&lt;=5,"Newcomer",
D489&lt;=10,"Proficient",
D489&gt;10,"Expert"
)</f>
        <v>Proficient</v>
      </c>
      <c r="F489" s="2" t="s">
        <v>86</v>
      </c>
      <c r="G489" s="5" t="s">
        <v>42</v>
      </c>
      <c r="H489" s="5" t="s">
        <v>105</v>
      </c>
      <c r="I489" s="2">
        <v>8</v>
      </c>
      <c r="J489" s="2" t="s">
        <v>24</v>
      </c>
      <c r="K489" s="2" t="s">
        <v>25</v>
      </c>
      <c r="L489" s="2" t="s">
        <v>96</v>
      </c>
      <c r="M489" s="4" t="str">
        <f t="shared" si="14"/>
        <v>Involuntary</v>
      </c>
      <c r="N489" s="23" t="s">
        <v>26</v>
      </c>
    </row>
    <row r="490" spans="1:14" x14ac:dyDescent="0.25">
      <c r="A490" s="22">
        <v>3368</v>
      </c>
      <c r="B490" s="3">
        <v>38155</v>
      </c>
      <c r="C490" s="3">
        <v>44155</v>
      </c>
      <c r="D490" s="2">
        <f t="shared" si="15"/>
        <v>16</v>
      </c>
      <c r="E490" s="4" t="str" cm="1">
        <f t="array" ref="E490">_xlfn.IFS(
D490&lt;=5,"Newcomer",
D490&lt;=10,"Proficient",
D490&gt;10,"Expert"
)</f>
        <v>Expert</v>
      </c>
      <c r="F490" s="2" t="s">
        <v>90</v>
      </c>
      <c r="G490" s="5" t="s">
        <v>35</v>
      </c>
      <c r="H490" s="5" t="s">
        <v>76</v>
      </c>
      <c r="I490" s="2">
        <v>26</v>
      </c>
      <c r="J490" s="2" t="s">
        <v>24</v>
      </c>
      <c r="K490" s="2" t="s">
        <v>25</v>
      </c>
      <c r="L490" s="2" t="s">
        <v>96</v>
      </c>
      <c r="M490" s="4" t="str">
        <f t="shared" si="14"/>
        <v>Involuntary</v>
      </c>
      <c r="N490" s="23" t="s">
        <v>26</v>
      </c>
    </row>
    <row r="491" spans="1:14" x14ac:dyDescent="0.25">
      <c r="A491" s="22">
        <v>3371</v>
      </c>
      <c r="B491" s="3">
        <v>41754</v>
      </c>
      <c r="C491" s="3">
        <v>44013</v>
      </c>
      <c r="D491" s="2">
        <f t="shared" si="15"/>
        <v>6</v>
      </c>
      <c r="E491" s="4" t="str" cm="1">
        <f t="array" ref="E491">_xlfn.IFS(
D491&lt;=5,"Newcomer",
D491&lt;=10,"Proficient",
D491&gt;10,"Expert"
)</f>
        <v>Proficient</v>
      </c>
      <c r="F491" s="2" t="s">
        <v>89</v>
      </c>
      <c r="G491" s="5" t="s">
        <v>35</v>
      </c>
      <c r="H491" s="5" t="s">
        <v>76</v>
      </c>
      <c r="I491" s="2">
        <v>33</v>
      </c>
      <c r="J491" s="2" t="s">
        <v>24</v>
      </c>
      <c r="K491" s="2" t="s">
        <v>25</v>
      </c>
      <c r="L491" s="2" t="s">
        <v>96</v>
      </c>
      <c r="M491" s="4" t="str">
        <f t="shared" si="14"/>
        <v>Involuntary</v>
      </c>
      <c r="N491" s="23" t="s">
        <v>26</v>
      </c>
    </row>
    <row r="492" spans="1:14" x14ac:dyDescent="0.25">
      <c r="A492" s="22">
        <v>3383</v>
      </c>
      <c r="B492" s="3">
        <v>37089</v>
      </c>
      <c r="C492" s="3">
        <v>44178</v>
      </c>
      <c r="D492" s="2">
        <f t="shared" si="15"/>
        <v>19</v>
      </c>
      <c r="E492" s="4" t="str" cm="1">
        <f t="array" ref="E492">_xlfn.IFS(
D492&lt;=5,"Newcomer",
D492&lt;=10,"Proficient",
D492&gt;10,"Expert"
)</f>
        <v>Expert</v>
      </c>
      <c r="F492" s="2" t="s">
        <v>81</v>
      </c>
      <c r="G492" s="5" t="s">
        <v>35</v>
      </c>
      <c r="H492" s="5" t="s">
        <v>76</v>
      </c>
      <c r="I492" s="2">
        <v>5</v>
      </c>
      <c r="J492" s="2" t="s">
        <v>24</v>
      </c>
      <c r="K492" s="2" t="s">
        <v>25</v>
      </c>
      <c r="L492" s="2" t="s">
        <v>96</v>
      </c>
      <c r="M492" s="4" t="str">
        <f t="shared" si="14"/>
        <v>Involuntary</v>
      </c>
      <c r="N492" s="23" t="s">
        <v>26</v>
      </c>
    </row>
    <row r="493" spans="1:14" x14ac:dyDescent="0.25">
      <c r="A493" s="22">
        <v>3391</v>
      </c>
      <c r="B493" s="3">
        <v>35279</v>
      </c>
      <c r="C493" s="3">
        <v>44132</v>
      </c>
      <c r="D493" s="2">
        <f t="shared" si="15"/>
        <v>24</v>
      </c>
      <c r="E493" s="4" t="str" cm="1">
        <f t="array" ref="E493">_xlfn.IFS(
D493&lt;=5,"Newcomer",
D493&lt;=10,"Proficient",
D493&gt;10,"Expert"
)</f>
        <v>Expert</v>
      </c>
      <c r="F493" s="2" t="s">
        <v>69</v>
      </c>
      <c r="G493" s="5" t="s">
        <v>35</v>
      </c>
      <c r="H493" s="5" t="s">
        <v>76</v>
      </c>
      <c r="I493" s="2">
        <v>28</v>
      </c>
      <c r="J493" s="2" t="s">
        <v>24</v>
      </c>
      <c r="K493" s="2" t="s">
        <v>25</v>
      </c>
      <c r="L493" s="2" t="s">
        <v>96</v>
      </c>
      <c r="M493" s="4" t="str">
        <f t="shared" si="14"/>
        <v>Involuntary</v>
      </c>
      <c r="N493" s="23" t="s">
        <v>26</v>
      </c>
    </row>
    <row r="494" spans="1:14" x14ac:dyDescent="0.25">
      <c r="A494" s="22">
        <v>3393</v>
      </c>
      <c r="B494" s="3">
        <v>38377</v>
      </c>
      <c r="C494" s="3">
        <v>44032</v>
      </c>
      <c r="D494" s="2">
        <f t="shared" si="15"/>
        <v>15</v>
      </c>
      <c r="E494" s="4" t="str" cm="1">
        <f t="array" ref="E494">_xlfn.IFS(
D494&lt;=5,"Newcomer",
D494&lt;=10,"Proficient",
D494&gt;10,"Expert"
)</f>
        <v>Expert</v>
      </c>
      <c r="F494" s="2" t="s">
        <v>14</v>
      </c>
      <c r="G494" s="5" t="s">
        <v>62</v>
      </c>
      <c r="H494" s="5" t="s">
        <v>63</v>
      </c>
      <c r="I494" s="2">
        <v>35</v>
      </c>
      <c r="J494" s="2" t="s">
        <v>24</v>
      </c>
      <c r="K494" s="2" t="s">
        <v>25</v>
      </c>
      <c r="L494" s="2" t="s">
        <v>96</v>
      </c>
      <c r="M494" s="4" t="str">
        <f t="shared" si="14"/>
        <v>Involuntary</v>
      </c>
      <c r="N494" s="23" t="s">
        <v>26</v>
      </c>
    </row>
    <row r="495" spans="1:14" x14ac:dyDescent="0.25">
      <c r="A495" s="22">
        <v>3401</v>
      </c>
      <c r="B495" s="3">
        <v>37018</v>
      </c>
      <c r="C495" s="3">
        <v>43915</v>
      </c>
      <c r="D495" s="2">
        <f t="shared" si="15"/>
        <v>19</v>
      </c>
      <c r="E495" s="4" t="str" cm="1">
        <f t="array" ref="E495">_xlfn.IFS(
D495&lt;=5,"Newcomer",
D495&lt;=10,"Proficient",
D495&gt;10,"Expert"
)</f>
        <v>Expert</v>
      </c>
      <c r="F495" s="2" t="s">
        <v>30</v>
      </c>
      <c r="G495" s="5" t="s">
        <v>35</v>
      </c>
      <c r="H495" s="5" t="s">
        <v>76</v>
      </c>
      <c r="I495" s="2">
        <v>37</v>
      </c>
      <c r="J495" s="2" t="s">
        <v>24</v>
      </c>
      <c r="K495" s="2" t="s">
        <v>25</v>
      </c>
      <c r="L495" s="2" t="s">
        <v>96</v>
      </c>
      <c r="M495" s="4" t="str">
        <f t="shared" si="14"/>
        <v>Involuntary</v>
      </c>
      <c r="N495" s="23" t="s">
        <v>26</v>
      </c>
    </row>
    <row r="496" spans="1:14" x14ac:dyDescent="0.25">
      <c r="A496" s="22">
        <v>3405</v>
      </c>
      <c r="B496" s="3">
        <v>41024</v>
      </c>
      <c r="C496" s="3">
        <v>44191</v>
      </c>
      <c r="D496" s="2">
        <f t="shared" si="15"/>
        <v>8</v>
      </c>
      <c r="E496" s="4" t="str" cm="1">
        <f t="array" ref="E496">_xlfn.IFS(
D496&lt;=5,"Newcomer",
D496&lt;=10,"Proficient",
D496&gt;10,"Expert"
)</f>
        <v>Proficient</v>
      </c>
      <c r="F496" s="2" t="s">
        <v>89</v>
      </c>
      <c r="G496" s="5" t="s">
        <v>35</v>
      </c>
      <c r="H496" s="5" t="s">
        <v>76</v>
      </c>
      <c r="I496" s="2">
        <v>33</v>
      </c>
      <c r="J496" s="2" t="s">
        <v>24</v>
      </c>
      <c r="K496" s="2" t="s">
        <v>25</v>
      </c>
      <c r="L496" s="2" t="s">
        <v>96</v>
      </c>
      <c r="M496" s="4" t="str">
        <f t="shared" si="14"/>
        <v>Involuntary</v>
      </c>
      <c r="N496" s="23" t="s">
        <v>26</v>
      </c>
    </row>
    <row r="497" spans="1:14" x14ac:dyDescent="0.25">
      <c r="A497" s="22">
        <v>3408</v>
      </c>
      <c r="B497" s="3">
        <v>42040</v>
      </c>
      <c r="C497" s="3">
        <v>43874</v>
      </c>
      <c r="D497" s="2">
        <f t="shared" si="15"/>
        <v>5</v>
      </c>
      <c r="E497" s="4" t="str" cm="1">
        <f t="array" ref="E497">_xlfn.IFS(
D497&lt;=5,"Newcomer",
D497&lt;=10,"Proficient",
D497&gt;10,"Expert"
)</f>
        <v>Newcomer</v>
      </c>
      <c r="F497" s="2" t="s">
        <v>86</v>
      </c>
      <c r="G497" s="5" t="s">
        <v>42</v>
      </c>
      <c r="H497" s="5" t="s">
        <v>105</v>
      </c>
      <c r="I497" s="2">
        <v>8</v>
      </c>
      <c r="J497" s="2" t="s">
        <v>24</v>
      </c>
      <c r="K497" s="2" t="s">
        <v>25</v>
      </c>
      <c r="L497" s="2" t="s">
        <v>96</v>
      </c>
      <c r="M497" s="4" t="str">
        <f t="shared" si="14"/>
        <v>Involuntary</v>
      </c>
      <c r="N497" s="23" t="s">
        <v>26</v>
      </c>
    </row>
    <row r="498" spans="1:14" x14ac:dyDescent="0.25">
      <c r="A498" s="22">
        <v>3410</v>
      </c>
      <c r="B498" s="3">
        <v>38016</v>
      </c>
      <c r="C498" s="3">
        <v>44133</v>
      </c>
      <c r="D498" s="2">
        <f t="shared" si="15"/>
        <v>16</v>
      </c>
      <c r="E498" s="4" t="str" cm="1">
        <f t="array" ref="E498">_xlfn.IFS(
D498&lt;=5,"Newcomer",
D498&lt;=10,"Proficient",
D498&gt;10,"Expert"
)</f>
        <v>Expert</v>
      </c>
      <c r="F498" s="2" t="s">
        <v>44</v>
      </c>
      <c r="G498" s="5" t="s">
        <v>35</v>
      </c>
      <c r="H498" s="5" t="s">
        <v>76</v>
      </c>
      <c r="I498" s="2">
        <v>18</v>
      </c>
      <c r="J498" s="2" t="s">
        <v>24</v>
      </c>
      <c r="K498" s="2" t="s">
        <v>25</v>
      </c>
      <c r="L498" s="2" t="s">
        <v>96</v>
      </c>
      <c r="M498" s="4" t="str">
        <f t="shared" si="14"/>
        <v>Involuntary</v>
      </c>
      <c r="N498" s="23" t="s">
        <v>26</v>
      </c>
    </row>
    <row r="499" spans="1:14" x14ac:dyDescent="0.25">
      <c r="A499" s="22">
        <v>3417</v>
      </c>
      <c r="B499" s="3">
        <v>36355</v>
      </c>
      <c r="C499" s="3">
        <v>44162</v>
      </c>
      <c r="D499" s="2">
        <f t="shared" si="15"/>
        <v>21</v>
      </c>
      <c r="E499" s="4" t="str" cm="1">
        <f t="array" ref="E499">_xlfn.IFS(
D499&lt;=5,"Newcomer",
D499&lt;=10,"Proficient",
D499&gt;10,"Expert"
)</f>
        <v>Expert</v>
      </c>
      <c r="F499" s="2" t="s">
        <v>73</v>
      </c>
      <c r="G499" s="5" t="s">
        <v>35</v>
      </c>
      <c r="H499" s="5" t="s">
        <v>76</v>
      </c>
      <c r="I499" s="2">
        <v>32</v>
      </c>
      <c r="J499" s="2" t="s">
        <v>24</v>
      </c>
      <c r="K499" s="2" t="s">
        <v>25</v>
      </c>
      <c r="L499" s="2" t="s">
        <v>96</v>
      </c>
      <c r="M499" s="4" t="str">
        <f t="shared" si="14"/>
        <v>Involuntary</v>
      </c>
      <c r="N499" s="23" t="s">
        <v>26</v>
      </c>
    </row>
    <row r="500" spans="1:14" x14ac:dyDescent="0.25">
      <c r="A500" s="22">
        <v>3426</v>
      </c>
      <c r="B500" s="3">
        <v>41887</v>
      </c>
      <c r="C500" s="3">
        <v>44060</v>
      </c>
      <c r="D500" s="2">
        <f t="shared" si="15"/>
        <v>6</v>
      </c>
      <c r="E500" s="4" t="str" cm="1">
        <f t="array" ref="E500">_xlfn.IFS(
D500&lt;=5,"Newcomer",
D500&lt;=10,"Proficient",
D500&gt;10,"Expert"
)</f>
        <v>Proficient</v>
      </c>
      <c r="F500" s="2" t="s">
        <v>89</v>
      </c>
      <c r="G500" s="5" t="s">
        <v>35</v>
      </c>
      <c r="H500" s="5" t="s">
        <v>76</v>
      </c>
      <c r="I500" s="2">
        <v>33</v>
      </c>
      <c r="J500" s="2" t="s">
        <v>24</v>
      </c>
      <c r="K500" s="2" t="s">
        <v>25</v>
      </c>
      <c r="L500" s="2" t="s">
        <v>96</v>
      </c>
      <c r="M500" s="4" t="str">
        <f t="shared" si="14"/>
        <v>Involuntary</v>
      </c>
      <c r="N500" s="23" t="s">
        <v>26</v>
      </c>
    </row>
    <row r="501" spans="1:14" x14ac:dyDescent="0.25">
      <c r="A501" s="22">
        <v>3429</v>
      </c>
      <c r="B501" s="3">
        <v>39589</v>
      </c>
      <c r="C501" s="3">
        <v>43976</v>
      </c>
      <c r="D501" s="2">
        <f t="shared" si="15"/>
        <v>12</v>
      </c>
      <c r="E501" s="4" t="str" cm="1">
        <f t="array" ref="E501">_xlfn.IFS(
D501&lt;=5,"Newcomer",
D501&lt;=10,"Proficient",
D501&gt;10,"Expert"
)</f>
        <v>Expert</v>
      </c>
      <c r="F501" s="2" t="s">
        <v>106</v>
      </c>
      <c r="G501" s="5" t="s">
        <v>35</v>
      </c>
      <c r="H501" s="5" t="s">
        <v>76</v>
      </c>
      <c r="I501" s="2">
        <v>20</v>
      </c>
      <c r="J501" s="2" t="s">
        <v>24</v>
      </c>
      <c r="K501" s="2" t="s">
        <v>25</v>
      </c>
      <c r="L501" s="2" t="s">
        <v>96</v>
      </c>
      <c r="M501" s="4" t="str">
        <f t="shared" si="14"/>
        <v>Involuntary</v>
      </c>
      <c r="N501" s="23" t="s">
        <v>26</v>
      </c>
    </row>
    <row r="502" spans="1:14" x14ac:dyDescent="0.25">
      <c r="A502" s="22">
        <v>3435</v>
      </c>
      <c r="B502" s="3">
        <v>40049</v>
      </c>
      <c r="C502" s="3">
        <v>43890</v>
      </c>
      <c r="D502" s="2">
        <f t="shared" si="15"/>
        <v>11</v>
      </c>
      <c r="E502" s="4" t="str" cm="1">
        <f t="array" ref="E502">_xlfn.IFS(
D502&lt;=5,"Newcomer",
D502&lt;=10,"Proficient",
D502&gt;10,"Expert"
)</f>
        <v>Expert</v>
      </c>
      <c r="F502" s="2" t="s">
        <v>30</v>
      </c>
      <c r="G502" s="5" t="s">
        <v>35</v>
      </c>
      <c r="H502" s="5" t="s">
        <v>76</v>
      </c>
      <c r="I502" s="2">
        <v>37</v>
      </c>
      <c r="J502" s="2" t="s">
        <v>24</v>
      </c>
      <c r="K502" s="2" t="s">
        <v>25</v>
      </c>
      <c r="L502" s="2" t="s">
        <v>96</v>
      </c>
      <c r="M502" s="4" t="str">
        <f t="shared" si="14"/>
        <v>Involuntary</v>
      </c>
      <c r="N502" s="23" t="s">
        <v>26</v>
      </c>
    </row>
    <row r="503" spans="1:14" x14ac:dyDescent="0.25">
      <c r="A503" s="22">
        <v>3437</v>
      </c>
      <c r="B503" s="3">
        <v>34751</v>
      </c>
      <c r="C503" s="3">
        <v>43855</v>
      </c>
      <c r="D503" s="2">
        <f t="shared" si="15"/>
        <v>25</v>
      </c>
      <c r="E503" s="4" t="str" cm="1">
        <f t="array" ref="E503">_xlfn.IFS(
D503&lt;=5,"Newcomer",
D503&lt;=10,"Proficient",
D503&gt;10,"Expert"
)</f>
        <v>Expert</v>
      </c>
      <c r="F503" s="2" t="s">
        <v>14</v>
      </c>
      <c r="G503" s="5" t="s">
        <v>62</v>
      </c>
      <c r="H503" s="5" t="s">
        <v>63</v>
      </c>
      <c r="I503" s="2">
        <v>35</v>
      </c>
      <c r="J503" s="2" t="s">
        <v>24</v>
      </c>
      <c r="K503" s="2" t="s">
        <v>25</v>
      </c>
      <c r="L503" s="2" t="s">
        <v>96</v>
      </c>
      <c r="M503" s="4" t="str">
        <f t="shared" si="14"/>
        <v>Involuntary</v>
      </c>
      <c r="N503" s="23" t="s">
        <v>26</v>
      </c>
    </row>
    <row r="504" spans="1:14" x14ac:dyDescent="0.25">
      <c r="A504" s="22">
        <v>3441</v>
      </c>
      <c r="B504" s="3">
        <v>37404</v>
      </c>
      <c r="C504" s="3">
        <v>44182</v>
      </c>
      <c r="D504" s="2">
        <f t="shared" si="15"/>
        <v>18</v>
      </c>
      <c r="E504" s="4" t="str" cm="1">
        <f t="array" ref="E504">_xlfn.IFS(
D504&lt;=5,"Newcomer",
D504&lt;=10,"Proficient",
D504&gt;10,"Expert"
)</f>
        <v>Expert</v>
      </c>
      <c r="F504" s="2" t="s">
        <v>14</v>
      </c>
      <c r="G504" s="5" t="s">
        <v>62</v>
      </c>
      <c r="H504" s="5" t="s">
        <v>63</v>
      </c>
      <c r="I504" s="2">
        <v>35</v>
      </c>
      <c r="J504" s="2" t="s">
        <v>24</v>
      </c>
      <c r="K504" s="2" t="s">
        <v>25</v>
      </c>
      <c r="L504" s="2" t="s">
        <v>96</v>
      </c>
      <c r="M504" s="4" t="str">
        <f t="shared" si="14"/>
        <v>Involuntary</v>
      </c>
      <c r="N504" s="23" t="s">
        <v>26</v>
      </c>
    </row>
    <row r="505" spans="1:14" x14ac:dyDescent="0.25">
      <c r="A505" s="22">
        <v>3447</v>
      </c>
      <c r="B505" s="3">
        <v>39133</v>
      </c>
      <c r="C505" s="3">
        <v>44076</v>
      </c>
      <c r="D505" s="2">
        <f t="shared" si="15"/>
        <v>13</v>
      </c>
      <c r="E505" s="4" t="str" cm="1">
        <f t="array" ref="E505">_xlfn.IFS(
D505&lt;=5,"Newcomer",
D505&lt;=10,"Proficient",
D505&gt;10,"Expert"
)</f>
        <v>Expert</v>
      </c>
      <c r="F505" s="2" t="s">
        <v>81</v>
      </c>
      <c r="G505" s="5" t="s">
        <v>67</v>
      </c>
      <c r="H505" s="5" t="s">
        <v>113</v>
      </c>
      <c r="I505" s="2">
        <v>5</v>
      </c>
      <c r="J505" s="2" t="s">
        <v>24</v>
      </c>
      <c r="K505" s="2" t="s">
        <v>25</v>
      </c>
      <c r="L505" s="2" t="s">
        <v>50</v>
      </c>
      <c r="M505" s="4" t="str">
        <f t="shared" si="14"/>
        <v>Voluntary</v>
      </c>
      <c r="N505" s="23" t="s">
        <v>26</v>
      </c>
    </row>
    <row r="506" spans="1:14" x14ac:dyDescent="0.25">
      <c r="A506" s="22">
        <v>3455</v>
      </c>
      <c r="B506" s="3">
        <v>38283</v>
      </c>
      <c r="C506" s="3">
        <v>44042</v>
      </c>
      <c r="D506" s="2">
        <f t="shared" si="15"/>
        <v>16</v>
      </c>
      <c r="E506" s="4" t="str" cm="1">
        <f t="array" ref="E506">_xlfn.IFS(
D506&lt;=5,"Newcomer",
D506&lt;=10,"Proficient",
D506&gt;10,"Expert"
)</f>
        <v>Expert</v>
      </c>
      <c r="F506" s="2" t="s">
        <v>90</v>
      </c>
      <c r="G506" s="5" t="s">
        <v>35</v>
      </c>
      <c r="H506" s="5" t="s">
        <v>76</v>
      </c>
      <c r="I506" s="2">
        <v>26</v>
      </c>
      <c r="J506" s="2" t="s">
        <v>24</v>
      </c>
      <c r="K506" s="2" t="s">
        <v>25</v>
      </c>
      <c r="L506" s="2" t="s">
        <v>96</v>
      </c>
      <c r="M506" s="4" t="str">
        <f t="shared" si="14"/>
        <v>Involuntary</v>
      </c>
      <c r="N506" s="23" t="s">
        <v>26</v>
      </c>
    </row>
    <row r="507" spans="1:14" x14ac:dyDescent="0.25">
      <c r="A507" s="22">
        <v>3464</v>
      </c>
      <c r="B507" s="3">
        <v>42234</v>
      </c>
      <c r="C507" s="3">
        <v>43844</v>
      </c>
      <c r="D507" s="2">
        <f t="shared" si="15"/>
        <v>5</v>
      </c>
      <c r="E507" s="4" t="str" cm="1">
        <f t="array" ref="E507">_xlfn.IFS(
D507&lt;=5,"Newcomer",
D507&lt;=10,"Proficient",
D507&gt;10,"Expert"
)</f>
        <v>Newcomer</v>
      </c>
      <c r="F507" s="2" t="s">
        <v>78</v>
      </c>
      <c r="G507" s="5" t="s">
        <v>35</v>
      </c>
      <c r="H507" s="5" t="s">
        <v>76</v>
      </c>
      <c r="I507" s="2">
        <v>21</v>
      </c>
      <c r="J507" s="2" t="s">
        <v>24</v>
      </c>
      <c r="K507" s="2" t="s">
        <v>25</v>
      </c>
      <c r="L507" s="2" t="s">
        <v>96</v>
      </c>
      <c r="M507" s="4" t="str">
        <f t="shared" si="14"/>
        <v>Involuntary</v>
      </c>
      <c r="N507" s="23" t="s">
        <v>26</v>
      </c>
    </row>
    <row r="508" spans="1:14" x14ac:dyDescent="0.25">
      <c r="A508" s="22">
        <v>3465</v>
      </c>
      <c r="B508" s="3">
        <v>39357</v>
      </c>
      <c r="C508" s="3">
        <v>43853</v>
      </c>
      <c r="D508" s="2">
        <f t="shared" si="15"/>
        <v>13</v>
      </c>
      <c r="E508" s="4" t="str" cm="1">
        <f t="array" ref="E508">_xlfn.IFS(
D508&lt;=5,"Newcomer",
D508&lt;=10,"Proficient",
D508&gt;10,"Expert"
)</f>
        <v>Expert</v>
      </c>
      <c r="F508" s="2" t="s">
        <v>86</v>
      </c>
      <c r="G508" s="5" t="s">
        <v>42</v>
      </c>
      <c r="H508" s="5" t="s">
        <v>105</v>
      </c>
      <c r="I508" s="2">
        <v>8</v>
      </c>
      <c r="J508" s="2" t="s">
        <v>24</v>
      </c>
      <c r="K508" s="2" t="s">
        <v>25</v>
      </c>
      <c r="L508" s="2" t="s">
        <v>96</v>
      </c>
      <c r="M508" s="4" t="str">
        <f t="shared" si="14"/>
        <v>Involuntary</v>
      </c>
      <c r="N508" s="23" t="s">
        <v>26</v>
      </c>
    </row>
    <row r="509" spans="1:14" x14ac:dyDescent="0.25">
      <c r="A509" s="22">
        <v>3470</v>
      </c>
      <c r="B509" s="3">
        <v>40192</v>
      </c>
      <c r="C509" s="3">
        <v>44137</v>
      </c>
      <c r="D509" s="2">
        <f t="shared" si="15"/>
        <v>10</v>
      </c>
      <c r="E509" s="4" t="str" cm="1">
        <f t="array" ref="E509">_xlfn.IFS(
D509&lt;=5,"Newcomer",
D509&lt;=10,"Proficient",
D509&gt;10,"Expert"
)</f>
        <v>Proficient</v>
      </c>
      <c r="F509" s="2" t="s">
        <v>102</v>
      </c>
      <c r="G509" s="5" t="s">
        <v>42</v>
      </c>
      <c r="H509" s="5" t="s">
        <v>105</v>
      </c>
      <c r="I509" s="2">
        <v>1</v>
      </c>
      <c r="J509" s="2" t="s">
        <v>24</v>
      </c>
      <c r="K509" s="2" t="s">
        <v>25</v>
      </c>
      <c r="L509" s="2" t="s">
        <v>96</v>
      </c>
      <c r="M509" s="4" t="str">
        <f t="shared" si="14"/>
        <v>Involuntary</v>
      </c>
      <c r="N509" s="23" t="s">
        <v>26</v>
      </c>
    </row>
    <row r="510" spans="1:14" x14ac:dyDescent="0.25">
      <c r="A510" s="22">
        <v>3475</v>
      </c>
      <c r="B510" s="3">
        <v>34199</v>
      </c>
      <c r="C510" s="3">
        <v>44193</v>
      </c>
      <c r="D510" s="2">
        <f t="shared" si="15"/>
        <v>27</v>
      </c>
      <c r="E510" s="4" t="str" cm="1">
        <f t="array" ref="E510">_xlfn.IFS(
D510&lt;=5,"Newcomer",
D510&lt;=10,"Proficient",
D510&gt;10,"Expert"
)</f>
        <v>Expert</v>
      </c>
      <c r="F510" s="2" t="s">
        <v>44</v>
      </c>
      <c r="G510" s="5" t="s">
        <v>35</v>
      </c>
      <c r="H510" s="5" t="s">
        <v>76</v>
      </c>
      <c r="I510" s="2">
        <v>18</v>
      </c>
      <c r="J510" s="2" t="s">
        <v>24</v>
      </c>
      <c r="K510" s="2" t="s">
        <v>25</v>
      </c>
      <c r="L510" s="2" t="s">
        <v>96</v>
      </c>
      <c r="M510" s="4" t="str">
        <f t="shared" si="14"/>
        <v>Involuntary</v>
      </c>
      <c r="N510" s="23" t="s">
        <v>26</v>
      </c>
    </row>
    <row r="511" spans="1:14" x14ac:dyDescent="0.25">
      <c r="A511" s="22">
        <v>3477</v>
      </c>
      <c r="B511" s="3">
        <v>38644</v>
      </c>
      <c r="C511" s="3">
        <v>43994</v>
      </c>
      <c r="D511" s="2">
        <f t="shared" si="15"/>
        <v>15</v>
      </c>
      <c r="E511" s="4" t="str" cm="1">
        <f t="array" ref="E511">_xlfn.IFS(
D511&lt;=5,"Newcomer",
D511&lt;=10,"Proficient",
D511&gt;10,"Expert"
)</f>
        <v>Expert</v>
      </c>
      <c r="F511" s="2" t="s">
        <v>30</v>
      </c>
      <c r="G511" s="5" t="s">
        <v>35</v>
      </c>
      <c r="H511" s="5" t="s">
        <v>76</v>
      </c>
      <c r="I511" s="2">
        <v>37</v>
      </c>
      <c r="J511" s="2" t="s">
        <v>24</v>
      </c>
      <c r="K511" s="2" t="s">
        <v>25</v>
      </c>
      <c r="L511" s="2" t="s">
        <v>96</v>
      </c>
      <c r="M511" s="4" t="str">
        <f t="shared" si="14"/>
        <v>Involuntary</v>
      </c>
      <c r="N511" s="23" t="s">
        <v>26</v>
      </c>
    </row>
    <row r="512" spans="1:14" x14ac:dyDescent="0.25">
      <c r="A512" s="22">
        <v>3481</v>
      </c>
      <c r="B512" s="3">
        <v>33960</v>
      </c>
      <c r="C512" s="3">
        <v>44120</v>
      </c>
      <c r="D512" s="2">
        <f t="shared" si="15"/>
        <v>28</v>
      </c>
      <c r="E512" s="4" t="str" cm="1">
        <f t="array" ref="E512">_xlfn.IFS(
D512&lt;=5,"Newcomer",
D512&lt;=10,"Proficient",
D512&gt;10,"Expert"
)</f>
        <v>Expert</v>
      </c>
      <c r="F512" s="2" t="s">
        <v>21</v>
      </c>
      <c r="G512" s="5" t="s">
        <v>42</v>
      </c>
      <c r="H512" s="5" t="s">
        <v>105</v>
      </c>
      <c r="I512" s="2">
        <v>19</v>
      </c>
      <c r="J512" s="2" t="s">
        <v>24</v>
      </c>
      <c r="K512" s="2" t="s">
        <v>25</v>
      </c>
      <c r="L512" s="2" t="s">
        <v>96</v>
      </c>
      <c r="M512" s="4" t="str">
        <f t="shared" si="14"/>
        <v>Involuntary</v>
      </c>
      <c r="N512" s="23" t="s">
        <v>26</v>
      </c>
    </row>
    <row r="513" spans="1:14" x14ac:dyDescent="0.25">
      <c r="A513" s="22">
        <v>3482</v>
      </c>
      <c r="B513" s="3">
        <v>33844</v>
      </c>
      <c r="C513" s="3">
        <v>44140</v>
      </c>
      <c r="D513" s="2">
        <f t="shared" si="15"/>
        <v>28</v>
      </c>
      <c r="E513" s="4" t="str" cm="1">
        <f t="array" ref="E513">_xlfn.IFS(
D513&lt;=5,"Newcomer",
D513&lt;=10,"Proficient",
D513&gt;10,"Expert"
)</f>
        <v>Expert</v>
      </c>
      <c r="F513" s="2" t="s">
        <v>91</v>
      </c>
      <c r="G513" s="5" t="s">
        <v>35</v>
      </c>
      <c r="H513" s="5" t="s">
        <v>76</v>
      </c>
      <c r="I513" s="2">
        <v>29</v>
      </c>
      <c r="J513" s="2" t="s">
        <v>24</v>
      </c>
      <c r="K513" s="2" t="s">
        <v>25</v>
      </c>
      <c r="L513" s="2" t="s">
        <v>96</v>
      </c>
      <c r="M513" s="4" t="str">
        <f t="shared" si="14"/>
        <v>Involuntary</v>
      </c>
      <c r="N513" s="23" t="s">
        <v>26</v>
      </c>
    </row>
    <row r="514" spans="1:14" x14ac:dyDescent="0.25">
      <c r="A514" s="22">
        <v>3484</v>
      </c>
      <c r="B514" s="3">
        <v>36438</v>
      </c>
      <c r="C514" s="3">
        <v>43967</v>
      </c>
      <c r="D514" s="2">
        <f t="shared" si="15"/>
        <v>21</v>
      </c>
      <c r="E514" s="4" t="str" cm="1">
        <f t="array" ref="E514">_xlfn.IFS(
D514&lt;=5,"Newcomer",
D514&lt;=10,"Proficient",
D514&gt;10,"Expert"
)</f>
        <v>Expert</v>
      </c>
      <c r="F514" s="2" t="s">
        <v>41</v>
      </c>
      <c r="G514" s="5" t="s">
        <v>42</v>
      </c>
      <c r="H514" s="5" t="s">
        <v>105</v>
      </c>
      <c r="I514" s="2">
        <v>15</v>
      </c>
      <c r="J514" s="2" t="s">
        <v>24</v>
      </c>
      <c r="K514" s="2" t="s">
        <v>25</v>
      </c>
      <c r="L514" s="2" t="s">
        <v>96</v>
      </c>
      <c r="M514" s="4" t="str">
        <f t="shared" ref="M514:M577" si="16">IF(OR(L514="Retirement",L514="Resignation"),"Voluntary","Involuntary")</f>
        <v>Involuntary</v>
      </c>
      <c r="N514" s="23" t="s">
        <v>26</v>
      </c>
    </row>
    <row r="515" spans="1:14" x14ac:dyDescent="0.25">
      <c r="A515" s="22">
        <v>3492</v>
      </c>
      <c r="B515" s="3">
        <v>40871</v>
      </c>
      <c r="C515" s="3">
        <v>44102</v>
      </c>
      <c r="D515" s="2">
        <f t="shared" ref="D515:D578" si="17">YEAR(C515)-YEAR(B515)</f>
        <v>9</v>
      </c>
      <c r="E515" s="4" t="str" cm="1">
        <f t="array" ref="E515">_xlfn.IFS(
D515&lt;=5,"Newcomer",
D515&lt;=10,"Proficient",
D515&gt;10,"Expert"
)</f>
        <v>Proficient</v>
      </c>
      <c r="F515" s="2" t="s">
        <v>30</v>
      </c>
      <c r="G515" s="5" t="s">
        <v>35</v>
      </c>
      <c r="H515" s="5" t="s">
        <v>76</v>
      </c>
      <c r="I515" s="2">
        <v>37</v>
      </c>
      <c r="J515" s="2" t="s">
        <v>24</v>
      </c>
      <c r="K515" s="2" t="s">
        <v>25</v>
      </c>
      <c r="L515" s="2" t="s">
        <v>96</v>
      </c>
      <c r="M515" s="4" t="str">
        <f t="shared" si="16"/>
        <v>Involuntary</v>
      </c>
      <c r="N515" s="23" t="s">
        <v>26</v>
      </c>
    </row>
    <row r="516" spans="1:14" x14ac:dyDescent="0.25">
      <c r="A516" s="22">
        <v>3503</v>
      </c>
      <c r="B516" s="3">
        <v>40918</v>
      </c>
      <c r="C516" s="3">
        <v>43887</v>
      </c>
      <c r="D516" s="2">
        <f t="shared" si="17"/>
        <v>8</v>
      </c>
      <c r="E516" s="4" t="str" cm="1">
        <f t="array" ref="E516">_xlfn.IFS(
D516&lt;=5,"Newcomer",
D516&lt;=10,"Proficient",
D516&gt;10,"Expert"
)</f>
        <v>Proficient</v>
      </c>
      <c r="F516" s="2" t="s">
        <v>107</v>
      </c>
      <c r="G516" s="5" t="s">
        <v>67</v>
      </c>
      <c r="H516" s="5" t="s">
        <v>68</v>
      </c>
      <c r="I516" s="2">
        <v>11</v>
      </c>
      <c r="J516" s="2" t="s">
        <v>17</v>
      </c>
      <c r="K516" s="2" t="s">
        <v>18</v>
      </c>
      <c r="L516" s="2" t="s">
        <v>96</v>
      </c>
      <c r="M516" s="4" t="str">
        <f t="shared" si="16"/>
        <v>Involuntary</v>
      </c>
      <c r="N516" s="23" t="s">
        <v>26</v>
      </c>
    </row>
    <row r="517" spans="1:14" x14ac:dyDescent="0.25">
      <c r="A517" s="22">
        <v>3506</v>
      </c>
      <c r="B517" s="3">
        <v>35620</v>
      </c>
      <c r="C517" s="3">
        <v>43914</v>
      </c>
      <c r="D517" s="2">
        <f t="shared" si="17"/>
        <v>23</v>
      </c>
      <c r="E517" s="4" t="str" cm="1">
        <f t="array" ref="E517">_xlfn.IFS(
D517&lt;=5,"Newcomer",
D517&lt;=10,"Proficient",
D517&gt;10,"Expert"
)</f>
        <v>Expert</v>
      </c>
      <c r="F517" s="2" t="s">
        <v>30</v>
      </c>
      <c r="G517" s="5" t="s">
        <v>42</v>
      </c>
      <c r="H517" s="5" t="s">
        <v>105</v>
      </c>
      <c r="I517" s="2">
        <v>37</v>
      </c>
      <c r="J517" s="2" t="s">
        <v>24</v>
      </c>
      <c r="K517" s="2" t="s">
        <v>25</v>
      </c>
      <c r="L517" s="2" t="s">
        <v>96</v>
      </c>
      <c r="M517" s="4" t="str">
        <f t="shared" si="16"/>
        <v>Involuntary</v>
      </c>
      <c r="N517" s="23" t="s">
        <v>26</v>
      </c>
    </row>
    <row r="518" spans="1:14" x14ac:dyDescent="0.25">
      <c r="A518" s="22">
        <v>3509</v>
      </c>
      <c r="B518" s="3">
        <v>41949</v>
      </c>
      <c r="C518" s="3">
        <v>43843</v>
      </c>
      <c r="D518" s="2">
        <f t="shared" si="17"/>
        <v>6</v>
      </c>
      <c r="E518" s="4" t="str" cm="1">
        <f t="array" ref="E518">_xlfn.IFS(
D518&lt;=5,"Newcomer",
D518&lt;=10,"Proficient",
D518&gt;10,"Expert"
)</f>
        <v>Proficient</v>
      </c>
      <c r="F518" s="2" t="s">
        <v>73</v>
      </c>
      <c r="G518" s="5" t="s">
        <v>35</v>
      </c>
      <c r="H518" s="5" t="s">
        <v>76</v>
      </c>
      <c r="I518" s="2">
        <v>32</v>
      </c>
      <c r="J518" s="2" t="s">
        <v>24</v>
      </c>
      <c r="K518" s="2" t="s">
        <v>25</v>
      </c>
      <c r="L518" s="2" t="s">
        <v>96</v>
      </c>
      <c r="M518" s="4" t="str">
        <f t="shared" si="16"/>
        <v>Involuntary</v>
      </c>
      <c r="N518" s="23" t="s">
        <v>26</v>
      </c>
    </row>
    <row r="519" spans="1:14" x14ac:dyDescent="0.25">
      <c r="A519" s="22">
        <v>3511</v>
      </c>
      <c r="B519" s="3">
        <v>41899</v>
      </c>
      <c r="C519" s="3">
        <v>44096</v>
      </c>
      <c r="D519" s="2">
        <f t="shared" si="17"/>
        <v>6</v>
      </c>
      <c r="E519" s="4" t="str" cm="1">
        <f t="array" ref="E519">_xlfn.IFS(
D519&lt;=5,"Newcomer",
D519&lt;=10,"Proficient",
D519&gt;10,"Expert"
)</f>
        <v>Proficient</v>
      </c>
      <c r="F519" s="2" t="s">
        <v>49</v>
      </c>
      <c r="G519" s="5" t="s">
        <v>42</v>
      </c>
      <c r="H519" s="5" t="s">
        <v>105</v>
      </c>
      <c r="I519" s="2">
        <v>12</v>
      </c>
      <c r="J519" s="2" t="s">
        <v>24</v>
      </c>
      <c r="K519" s="2" t="s">
        <v>25</v>
      </c>
      <c r="L519" s="2" t="s">
        <v>96</v>
      </c>
      <c r="M519" s="4" t="str">
        <f t="shared" si="16"/>
        <v>Involuntary</v>
      </c>
      <c r="N519" s="23" t="s">
        <v>26</v>
      </c>
    </row>
    <row r="520" spans="1:14" x14ac:dyDescent="0.25">
      <c r="A520" s="22">
        <v>3512</v>
      </c>
      <c r="B520" s="3">
        <v>39685</v>
      </c>
      <c r="C520" s="3">
        <v>43952</v>
      </c>
      <c r="D520" s="2">
        <f t="shared" si="17"/>
        <v>12</v>
      </c>
      <c r="E520" s="4" t="str" cm="1">
        <f t="array" ref="E520">_xlfn.IFS(
D520&lt;=5,"Newcomer",
D520&lt;=10,"Proficient",
D520&gt;10,"Expert"
)</f>
        <v>Expert</v>
      </c>
      <c r="F520" s="2" t="s">
        <v>114</v>
      </c>
      <c r="G520" s="5" t="s">
        <v>42</v>
      </c>
      <c r="H520" s="5" t="s">
        <v>105</v>
      </c>
      <c r="I520" s="2">
        <v>27</v>
      </c>
      <c r="J520" s="2" t="s">
        <v>24</v>
      </c>
      <c r="K520" s="2" t="s">
        <v>25</v>
      </c>
      <c r="L520" s="2" t="s">
        <v>96</v>
      </c>
      <c r="M520" s="4" t="str">
        <f t="shared" si="16"/>
        <v>Involuntary</v>
      </c>
      <c r="N520" s="23" t="s">
        <v>26</v>
      </c>
    </row>
    <row r="521" spans="1:14" x14ac:dyDescent="0.25">
      <c r="A521" s="22">
        <v>3519</v>
      </c>
      <c r="B521" s="3">
        <v>32985</v>
      </c>
      <c r="C521" s="3">
        <v>44121</v>
      </c>
      <c r="D521" s="2">
        <f t="shared" si="17"/>
        <v>30</v>
      </c>
      <c r="E521" s="4" t="str" cm="1">
        <f t="array" ref="E521">_xlfn.IFS(
D521&lt;=5,"Newcomer",
D521&lt;=10,"Proficient",
D521&gt;10,"Expert"
)</f>
        <v>Expert</v>
      </c>
      <c r="F521" s="2" t="s">
        <v>73</v>
      </c>
      <c r="G521" s="5" t="s">
        <v>35</v>
      </c>
      <c r="H521" s="5" t="s">
        <v>76</v>
      </c>
      <c r="I521" s="2">
        <v>32</v>
      </c>
      <c r="J521" s="2" t="s">
        <v>24</v>
      </c>
      <c r="K521" s="2" t="s">
        <v>25</v>
      </c>
      <c r="L521" s="2" t="s">
        <v>96</v>
      </c>
      <c r="M521" s="4" t="str">
        <f t="shared" si="16"/>
        <v>Involuntary</v>
      </c>
      <c r="N521" s="23" t="s">
        <v>26</v>
      </c>
    </row>
    <row r="522" spans="1:14" x14ac:dyDescent="0.25">
      <c r="A522" s="22">
        <v>3520</v>
      </c>
      <c r="B522" s="3">
        <v>33234</v>
      </c>
      <c r="C522" s="3">
        <v>43833</v>
      </c>
      <c r="D522" s="2">
        <f t="shared" si="17"/>
        <v>30</v>
      </c>
      <c r="E522" s="4" t="str" cm="1">
        <f t="array" ref="E522">_xlfn.IFS(
D522&lt;=5,"Newcomer",
D522&lt;=10,"Proficient",
D522&gt;10,"Expert"
)</f>
        <v>Expert</v>
      </c>
      <c r="F522" s="2" t="s">
        <v>14</v>
      </c>
      <c r="G522" s="5" t="s">
        <v>62</v>
      </c>
      <c r="H522" s="5" t="s">
        <v>63</v>
      </c>
      <c r="I522" s="2">
        <v>35</v>
      </c>
      <c r="J522" s="2" t="s">
        <v>24</v>
      </c>
      <c r="K522" s="2" t="s">
        <v>25</v>
      </c>
      <c r="L522" s="2" t="s">
        <v>96</v>
      </c>
      <c r="M522" s="4" t="str">
        <f t="shared" si="16"/>
        <v>Involuntary</v>
      </c>
      <c r="N522" s="23" t="s">
        <v>26</v>
      </c>
    </row>
    <row r="523" spans="1:14" x14ac:dyDescent="0.25">
      <c r="A523" s="22">
        <v>3521</v>
      </c>
      <c r="B523" s="3">
        <v>40919</v>
      </c>
      <c r="C523" s="3">
        <v>44019</v>
      </c>
      <c r="D523" s="2">
        <f t="shared" si="17"/>
        <v>8</v>
      </c>
      <c r="E523" s="4" t="str" cm="1">
        <f t="array" ref="E523">_xlfn.IFS(
D523&lt;=5,"Newcomer",
D523&lt;=10,"Proficient",
D523&gt;10,"Expert"
)</f>
        <v>Proficient</v>
      </c>
      <c r="F523" s="2" t="s">
        <v>103</v>
      </c>
      <c r="G523" s="5" t="s">
        <v>42</v>
      </c>
      <c r="H523" s="5" t="s">
        <v>105</v>
      </c>
      <c r="I523" s="2">
        <v>2</v>
      </c>
      <c r="J523" s="2" t="s">
        <v>24</v>
      </c>
      <c r="K523" s="2" t="s">
        <v>25</v>
      </c>
      <c r="L523" s="2" t="s">
        <v>96</v>
      </c>
      <c r="M523" s="4" t="str">
        <f t="shared" si="16"/>
        <v>Involuntary</v>
      </c>
      <c r="N523" s="23" t="s">
        <v>26</v>
      </c>
    </row>
    <row r="524" spans="1:14" x14ac:dyDescent="0.25">
      <c r="A524" s="22">
        <v>3541</v>
      </c>
      <c r="B524" s="3">
        <v>42112</v>
      </c>
      <c r="C524" s="3">
        <v>44093</v>
      </c>
      <c r="D524" s="2">
        <f t="shared" si="17"/>
        <v>5</v>
      </c>
      <c r="E524" s="4" t="str" cm="1">
        <f t="array" ref="E524">_xlfn.IFS(
D524&lt;=5,"Newcomer",
D524&lt;=10,"Proficient",
D524&gt;10,"Expert"
)</f>
        <v>Newcomer</v>
      </c>
      <c r="F524" s="2" t="s">
        <v>91</v>
      </c>
      <c r="G524" s="5" t="s">
        <v>35</v>
      </c>
      <c r="H524" s="5" t="s">
        <v>76</v>
      </c>
      <c r="I524" s="2">
        <v>29</v>
      </c>
      <c r="J524" s="2" t="s">
        <v>24</v>
      </c>
      <c r="K524" s="2" t="s">
        <v>25</v>
      </c>
      <c r="L524" s="2" t="s">
        <v>96</v>
      </c>
      <c r="M524" s="4" t="str">
        <f t="shared" si="16"/>
        <v>Involuntary</v>
      </c>
      <c r="N524" s="23" t="s">
        <v>26</v>
      </c>
    </row>
    <row r="525" spans="1:14" x14ac:dyDescent="0.25">
      <c r="A525" s="22">
        <v>3543</v>
      </c>
      <c r="B525" s="3">
        <v>34582</v>
      </c>
      <c r="C525" s="3">
        <v>44193</v>
      </c>
      <c r="D525" s="2">
        <f t="shared" si="17"/>
        <v>26</v>
      </c>
      <c r="E525" s="4" t="str" cm="1">
        <f t="array" ref="E525">_xlfn.IFS(
D525&lt;=5,"Newcomer",
D525&lt;=10,"Proficient",
D525&gt;10,"Expert"
)</f>
        <v>Expert</v>
      </c>
      <c r="F525" s="2" t="s">
        <v>27</v>
      </c>
      <c r="G525" s="5" t="s">
        <v>42</v>
      </c>
      <c r="H525" s="5" t="s">
        <v>105</v>
      </c>
      <c r="I525" s="2">
        <v>16</v>
      </c>
      <c r="J525" s="2" t="s">
        <v>24</v>
      </c>
      <c r="K525" s="2" t="s">
        <v>25</v>
      </c>
      <c r="L525" s="2" t="s">
        <v>96</v>
      </c>
      <c r="M525" s="4" t="str">
        <f t="shared" si="16"/>
        <v>Involuntary</v>
      </c>
      <c r="N525" s="23" t="s">
        <v>26</v>
      </c>
    </row>
    <row r="526" spans="1:14" x14ac:dyDescent="0.25">
      <c r="A526" s="22">
        <v>3554</v>
      </c>
      <c r="B526" s="3">
        <v>35209</v>
      </c>
      <c r="C526" s="3">
        <v>44003</v>
      </c>
      <c r="D526" s="2">
        <f t="shared" si="17"/>
        <v>24</v>
      </c>
      <c r="E526" s="4" t="str" cm="1">
        <f t="array" ref="E526">_xlfn.IFS(
D526&lt;=5,"Newcomer",
D526&lt;=10,"Proficient",
D526&gt;10,"Expert"
)</f>
        <v>Expert</v>
      </c>
      <c r="F526" s="2" t="s">
        <v>91</v>
      </c>
      <c r="G526" s="5" t="s">
        <v>42</v>
      </c>
      <c r="H526" s="5" t="s">
        <v>105</v>
      </c>
      <c r="I526" s="2">
        <v>29</v>
      </c>
      <c r="J526" s="2" t="s">
        <v>24</v>
      </c>
      <c r="K526" s="2" t="s">
        <v>25</v>
      </c>
      <c r="L526" s="2" t="s">
        <v>96</v>
      </c>
      <c r="M526" s="4" t="str">
        <f t="shared" si="16"/>
        <v>Involuntary</v>
      </c>
      <c r="N526" s="23" t="s">
        <v>26</v>
      </c>
    </row>
    <row r="527" spans="1:14" x14ac:dyDescent="0.25">
      <c r="A527" s="22">
        <v>3556</v>
      </c>
      <c r="B527" s="3">
        <v>37818</v>
      </c>
      <c r="C527" s="3">
        <v>44167</v>
      </c>
      <c r="D527" s="2">
        <f t="shared" si="17"/>
        <v>17</v>
      </c>
      <c r="E527" s="4" t="str" cm="1">
        <f t="array" ref="E527">_xlfn.IFS(
D527&lt;=5,"Newcomer",
D527&lt;=10,"Proficient",
D527&gt;10,"Expert"
)</f>
        <v>Expert</v>
      </c>
      <c r="F527" s="2" t="s">
        <v>30</v>
      </c>
      <c r="G527" s="5" t="s">
        <v>42</v>
      </c>
      <c r="H527" s="5" t="s">
        <v>105</v>
      </c>
      <c r="I527" s="2">
        <v>37</v>
      </c>
      <c r="J527" s="2" t="s">
        <v>24</v>
      </c>
      <c r="K527" s="2" t="s">
        <v>25</v>
      </c>
      <c r="L527" s="2" t="s">
        <v>96</v>
      </c>
      <c r="M527" s="4" t="str">
        <f t="shared" si="16"/>
        <v>Involuntary</v>
      </c>
      <c r="N527" s="23" t="s">
        <v>26</v>
      </c>
    </row>
    <row r="528" spans="1:14" x14ac:dyDescent="0.25">
      <c r="A528" s="22">
        <v>3561</v>
      </c>
      <c r="B528" s="3">
        <v>38759</v>
      </c>
      <c r="C528" s="3">
        <v>44106</v>
      </c>
      <c r="D528" s="2">
        <f t="shared" si="17"/>
        <v>14</v>
      </c>
      <c r="E528" s="4" t="str" cm="1">
        <f t="array" ref="E528">_xlfn.IFS(
D528&lt;=5,"Newcomer",
D528&lt;=10,"Proficient",
D528&gt;10,"Expert"
)</f>
        <v>Expert</v>
      </c>
      <c r="F528" s="2" t="s">
        <v>44</v>
      </c>
      <c r="G528" s="5" t="s">
        <v>42</v>
      </c>
      <c r="H528" s="5" t="s">
        <v>105</v>
      </c>
      <c r="I528" s="2">
        <v>18</v>
      </c>
      <c r="J528" s="2" t="s">
        <v>24</v>
      </c>
      <c r="K528" s="2" t="s">
        <v>25</v>
      </c>
      <c r="L528" s="2" t="s">
        <v>96</v>
      </c>
      <c r="M528" s="4" t="str">
        <f t="shared" si="16"/>
        <v>Involuntary</v>
      </c>
      <c r="N528" s="23" t="s">
        <v>26</v>
      </c>
    </row>
    <row r="529" spans="1:14" x14ac:dyDescent="0.25">
      <c r="A529" s="22">
        <v>3566</v>
      </c>
      <c r="B529" s="3">
        <v>39731</v>
      </c>
      <c r="C529" s="3">
        <v>43833</v>
      </c>
      <c r="D529" s="2">
        <f t="shared" si="17"/>
        <v>12</v>
      </c>
      <c r="E529" s="4" t="str" cm="1">
        <f t="array" ref="E529">_xlfn.IFS(
D529&lt;=5,"Newcomer",
D529&lt;=10,"Proficient",
D529&gt;10,"Expert"
)</f>
        <v>Expert</v>
      </c>
      <c r="F529" s="2" t="s">
        <v>90</v>
      </c>
      <c r="G529" s="5" t="s">
        <v>35</v>
      </c>
      <c r="H529" s="5" t="s">
        <v>76</v>
      </c>
      <c r="I529" s="2">
        <v>26</v>
      </c>
      <c r="J529" s="2" t="s">
        <v>17</v>
      </c>
      <c r="K529" s="2" t="s">
        <v>18</v>
      </c>
      <c r="L529" s="2" t="s">
        <v>50</v>
      </c>
      <c r="M529" s="4" t="str">
        <f t="shared" si="16"/>
        <v>Voluntary</v>
      </c>
      <c r="N529" s="23" t="s">
        <v>26</v>
      </c>
    </row>
    <row r="530" spans="1:14" x14ac:dyDescent="0.25">
      <c r="A530" s="22">
        <v>3570</v>
      </c>
      <c r="B530" s="3">
        <v>41627</v>
      </c>
      <c r="C530" s="3">
        <v>43986</v>
      </c>
      <c r="D530" s="2">
        <f t="shared" si="17"/>
        <v>7</v>
      </c>
      <c r="E530" s="4" t="str" cm="1">
        <f t="array" ref="E530">_xlfn.IFS(
D530&lt;=5,"Newcomer",
D530&lt;=10,"Proficient",
D530&gt;10,"Expert"
)</f>
        <v>Proficient</v>
      </c>
      <c r="F530" s="2" t="s">
        <v>14</v>
      </c>
      <c r="G530" s="5" t="s">
        <v>62</v>
      </c>
      <c r="H530" s="5" t="s">
        <v>63</v>
      </c>
      <c r="I530" s="2">
        <v>35</v>
      </c>
      <c r="J530" s="2" t="s">
        <v>24</v>
      </c>
      <c r="K530" s="2" t="s">
        <v>25</v>
      </c>
      <c r="L530" s="2" t="s">
        <v>96</v>
      </c>
      <c r="M530" s="4" t="str">
        <f t="shared" si="16"/>
        <v>Involuntary</v>
      </c>
      <c r="N530" s="23" t="s">
        <v>26</v>
      </c>
    </row>
    <row r="531" spans="1:14" x14ac:dyDescent="0.25">
      <c r="A531" s="22">
        <v>3572</v>
      </c>
      <c r="B531" s="3">
        <v>34396</v>
      </c>
      <c r="C531" s="3">
        <v>44104</v>
      </c>
      <c r="D531" s="2">
        <f t="shared" si="17"/>
        <v>26</v>
      </c>
      <c r="E531" s="4" t="str" cm="1">
        <f t="array" ref="E531">_xlfn.IFS(
D531&lt;=5,"Newcomer",
D531&lt;=10,"Proficient",
D531&gt;10,"Expert"
)</f>
        <v>Expert</v>
      </c>
      <c r="F531" s="2" t="s">
        <v>78</v>
      </c>
      <c r="G531" s="5" t="s">
        <v>42</v>
      </c>
      <c r="H531" s="5" t="s">
        <v>105</v>
      </c>
      <c r="I531" s="2">
        <v>21</v>
      </c>
      <c r="J531" s="2" t="s">
        <v>24</v>
      </c>
      <c r="K531" s="2" t="s">
        <v>25</v>
      </c>
      <c r="L531" s="2" t="s">
        <v>50</v>
      </c>
      <c r="M531" s="4" t="str">
        <f t="shared" si="16"/>
        <v>Voluntary</v>
      </c>
      <c r="N531" s="23" t="s">
        <v>26</v>
      </c>
    </row>
    <row r="532" spans="1:14" x14ac:dyDescent="0.25">
      <c r="A532" s="22">
        <v>3573</v>
      </c>
      <c r="B532" s="3">
        <v>40549</v>
      </c>
      <c r="C532" s="3">
        <v>44193</v>
      </c>
      <c r="D532" s="2">
        <f t="shared" si="17"/>
        <v>9</v>
      </c>
      <c r="E532" s="4" t="str" cm="1">
        <f t="array" ref="E532">_xlfn.IFS(
D532&lt;=5,"Newcomer",
D532&lt;=10,"Proficient",
D532&gt;10,"Expert"
)</f>
        <v>Proficient</v>
      </c>
      <c r="F532" s="2" t="s">
        <v>14</v>
      </c>
      <c r="G532" s="5" t="s">
        <v>62</v>
      </c>
      <c r="H532" s="5" t="s">
        <v>63</v>
      </c>
      <c r="I532" s="2">
        <v>35</v>
      </c>
      <c r="J532" s="2" t="s">
        <v>24</v>
      </c>
      <c r="K532" s="2" t="s">
        <v>25</v>
      </c>
      <c r="L532" s="2" t="s">
        <v>96</v>
      </c>
      <c r="M532" s="4" t="str">
        <f t="shared" si="16"/>
        <v>Involuntary</v>
      </c>
      <c r="N532" s="23" t="s">
        <v>26</v>
      </c>
    </row>
    <row r="533" spans="1:14" x14ac:dyDescent="0.25">
      <c r="A533" s="22">
        <v>3578</v>
      </c>
      <c r="B533" s="3">
        <v>42173</v>
      </c>
      <c r="C533" s="3">
        <v>44051</v>
      </c>
      <c r="D533" s="2">
        <f t="shared" si="17"/>
        <v>5</v>
      </c>
      <c r="E533" s="4" t="str" cm="1">
        <f t="array" ref="E533">_xlfn.IFS(
D533&lt;=5,"Newcomer",
D533&lt;=10,"Proficient",
D533&gt;10,"Expert"
)</f>
        <v>Newcomer</v>
      </c>
      <c r="F533" s="2" t="s">
        <v>41</v>
      </c>
      <c r="G533" s="5" t="s">
        <v>42</v>
      </c>
      <c r="H533" s="5" t="s">
        <v>105</v>
      </c>
      <c r="I533" s="2">
        <v>15</v>
      </c>
      <c r="J533" s="2" t="s">
        <v>24</v>
      </c>
      <c r="K533" s="2" t="s">
        <v>25</v>
      </c>
      <c r="L533" s="2" t="s">
        <v>96</v>
      </c>
      <c r="M533" s="4" t="str">
        <f t="shared" si="16"/>
        <v>Involuntary</v>
      </c>
      <c r="N533" s="23" t="s">
        <v>26</v>
      </c>
    </row>
    <row r="534" spans="1:14" x14ac:dyDescent="0.25">
      <c r="A534" s="22">
        <v>3585</v>
      </c>
      <c r="B534" s="3">
        <v>33752</v>
      </c>
      <c r="C534" s="3">
        <v>44183</v>
      </c>
      <c r="D534" s="2">
        <f t="shared" si="17"/>
        <v>28</v>
      </c>
      <c r="E534" s="4" t="str" cm="1">
        <f t="array" ref="E534">_xlfn.IFS(
D534&lt;=5,"Newcomer",
D534&lt;=10,"Proficient",
D534&gt;10,"Expert"
)</f>
        <v>Expert</v>
      </c>
      <c r="F534" s="2" t="s">
        <v>27</v>
      </c>
      <c r="G534" s="5" t="s">
        <v>42</v>
      </c>
      <c r="H534" s="5" t="s">
        <v>105</v>
      </c>
      <c r="I534" s="2">
        <v>16</v>
      </c>
      <c r="J534" s="2" t="s">
        <v>24</v>
      </c>
      <c r="K534" s="2" t="s">
        <v>25</v>
      </c>
      <c r="L534" s="2" t="s">
        <v>96</v>
      </c>
      <c r="M534" s="4" t="str">
        <f t="shared" si="16"/>
        <v>Involuntary</v>
      </c>
      <c r="N534" s="23" t="s">
        <v>26</v>
      </c>
    </row>
    <row r="535" spans="1:14" x14ac:dyDescent="0.25">
      <c r="A535" s="22">
        <v>3588</v>
      </c>
      <c r="B535" s="3">
        <v>34065</v>
      </c>
      <c r="C535" s="3">
        <v>44153</v>
      </c>
      <c r="D535" s="2">
        <f t="shared" si="17"/>
        <v>27</v>
      </c>
      <c r="E535" s="4" t="str" cm="1">
        <f t="array" ref="E535">_xlfn.IFS(
D535&lt;=5,"Newcomer",
D535&lt;=10,"Proficient",
D535&gt;10,"Expert"
)</f>
        <v>Expert</v>
      </c>
      <c r="F535" s="2" t="s">
        <v>91</v>
      </c>
      <c r="G535" s="5" t="s">
        <v>42</v>
      </c>
      <c r="H535" s="5" t="s">
        <v>105</v>
      </c>
      <c r="I535" s="2">
        <v>29</v>
      </c>
      <c r="J535" s="2" t="s">
        <v>24</v>
      </c>
      <c r="K535" s="2" t="s">
        <v>25</v>
      </c>
      <c r="L535" s="2" t="s">
        <v>96</v>
      </c>
      <c r="M535" s="4" t="str">
        <f t="shared" si="16"/>
        <v>Involuntary</v>
      </c>
      <c r="N535" s="23" t="s">
        <v>26</v>
      </c>
    </row>
    <row r="536" spans="1:14" x14ac:dyDescent="0.25">
      <c r="A536" s="22">
        <v>3599</v>
      </c>
      <c r="B536" s="3">
        <v>41136</v>
      </c>
      <c r="C536" s="3">
        <v>44038</v>
      </c>
      <c r="D536" s="2">
        <f t="shared" si="17"/>
        <v>8</v>
      </c>
      <c r="E536" s="4" t="str" cm="1">
        <f t="array" ref="E536">_xlfn.IFS(
D536&lt;=5,"Newcomer",
D536&lt;=10,"Proficient",
D536&gt;10,"Expert"
)</f>
        <v>Proficient</v>
      </c>
      <c r="F536" s="2" t="s">
        <v>66</v>
      </c>
      <c r="G536" s="5" t="s">
        <v>42</v>
      </c>
      <c r="H536" s="5" t="s">
        <v>105</v>
      </c>
      <c r="I536" s="2">
        <v>36</v>
      </c>
      <c r="J536" s="2" t="s">
        <v>24</v>
      </c>
      <c r="K536" s="2" t="s">
        <v>25</v>
      </c>
      <c r="L536" s="2" t="s">
        <v>96</v>
      </c>
      <c r="M536" s="4" t="str">
        <f t="shared" si="16"/>
        <v>Involuntary</v>
      </c>
      <c r="N536" s="23" t="s">
        <v>26</v>
      </c>
    </row>
    <row r="537" spans="1:14" x14ac:dyDescent="0.25">
      <c r="A537" s="22">
        <v>3605</v>
      </c>
      <c r="B537" s="3">
        <v>39225</v>
      </c>
      <c r="C537" s="3">
        <v>44014</v>
      </c>
      <c r="D537" s="2">
        <f t="shared" si="17"/>
        <v>13</v>
      </c>
      <c r="E537" s="4" t="str" cm="1">
        <f t="array" ref="E537">_xlfn.IFS(
D537&lt;=5,"Newcomer",
D537&lt;=10,"Proficient",
D537&gt;10,"Expert"
)</f>
        <v>Expert</v>
      </c>
      <c r="F537" s="2" t="s">
        <v>14</v>
      </c>
      <c r="G537" s="5" t="s">
        <v>62</v>
      </c>
      <c r="H537" s="5" t="s">
        <v>63</v>
      </c>
      <c r="I537" s="2">
        <v>35</v>
      </c>
      <c r="J537" s="2" t="s">
        <v>24</v>
      </c>
      <c r="K537" s="2" t="s">
        <v>25</v>
      </c>
      <c r="L537" s="2" t="s">
        <v>96</v>
      </c>
      <c r="M537" s="4" t="str">
        <f t="shared" si="16"/>
        <v>Involuntary</v>
      </c>
      <c r="N537" s="23" t="s">
        <v>26</v>
      </c>
    </row>
    <row r="538" spans="1:14" x14ac:dyDescent="0.25">
      <c r="A538" s="22">
        <v>3611</v>
      </c>
      <c r="B538" s="3">
        <v>34247</v>
      </c>
      <c r="C538" s="3">
        <v>44037</v>
      </c>
      <c r="D538" s="2">
        <f t="shared" si="17"/>
        <v>27</v>
      </c>
      <c r="E538" s="4" t="str" cm="1">
        <f t="array" ref="E538">_xlfn.IFS(
D538&lt;=5,"Newcomer",
D538&lt;=10,"Proficient",
D538&gt;10,"Expert"
)</f>
        <v>Expert</v>
      </c>
      <c r="F538" s="2" t="s">
        <v>78</v>
      </c>
      <c r="G538" s="5" t="s">
        <v>35</v>
      </c>
      <c r="H538" s="5" t="s">
        <v>76</v>
      </c>
      <c r="I538" s="2">
        <v>21</v>
      </c>
      <c r="J538" s="2" t="s">
        <v>24</v>
      </c>
      <c r="K538" s="2" t="s">
        <v>25</v>
      </c>
      <c r="L538" s="2" t="s">
        <v>96</v>
      </c>
      <c r="M538" s="4" t="str">
        <f t="shared" si="16"/>
        <v>Involuntary</v>
      </c>
      <c r="N538" s="23" t="s">
        <v>26</v>
      </c>
    </row>
    <row r="539" spans="1:14" x14ac:dyDescent="0.25">
      <c r="A539" s="22">
        <v>3619</v>
      </c>
      <c r="B539" s="3">
        <v>40153</v>
      </c>
      <c r="C539" s="3">
        <v>44090</v>
      </c>
      <c r="D539" s="2">
        <f t="shared" si="17"/>
        <v>11</v>
      </c>
      <c r="E539" s="4" t="str" cm="1">
        <f t="array" ref="E539">_xlfn.IFS(
D539&lt;=5,"Newcomer",
D539&lt;=10,"Proficient",
D539&gt;10,"Expert"
)</f>
        <v>Expert</v>
      </c>
      <c r="F539" s="2" t="s">
        <v>73</v>
      </c>
      <c r="G539" s="5" t="s">
        <v>35</v>
      </c>
      <c r="H539" s="5" t="s">
        <v>76</v>
      </c>
      <c r="I539" s="2">
        <v>32</v>
      </c>
      <c r="J539" s="2" t="s">
        <v>24</v>
      </c>
      <c r="K539" s="2" t="s">
        <v>25</v>
      </c>
      <c r="L539" s="2" t="s">
        <v>96</v>
      </c>
      <c r="M539" s="4" t="str">
        <f t="shared" si="16"/>
        <v>Involuntary</v>
      </c>
      <c r="N539" s="23" t="s">
        <v>26</v>
      </c>
    </row>
    <row r="540" spans="1:14" x14ac:dyDescent="0.25">
      <c r="A540" s="22">
        <v>3620</v>
      </c>
      <c r="B540" s="3">
        <v>40177</v>
      </c>
      <c r="C540" s="3">
        <v>43912</v>
      </c>
      <c r="D540" s="2">
        <f t="shared" si="17"/>
        <v>11</v>
      </c>
      <c r="E540" s="4" t="str" cm="1">
        <f t="array" ref="E540">_xlfn.IFS(
D540&lt;=5,"Newcomer",
D540&lt;=10,"Proficient",
D540&gt;10,"Expert"
)</f>
        <v>Expert</v>
      </c>
      <c r="F540" s="2" t="s">
        <v>14</v>
      </c>
      <c r="G540" s="5" t="s">
        <v>62</v>
      </c>
      <c r="H540" s="5" t="s">
        <v>63</v>
      </c>
      <c r="I540" s="2">
        <v>35</v>
      </c>
      <c r="J540" s="2" t="s">
        <v>24</v>
      </c>
      <c r="K540" s="2" t="s">
        <v>25</v>
      </c>
      <c r="L540" s="2" t="s">
        <v>96</v>
      </c>
      <c r="M540" s="4" t="str">
        <f t="shared" si="16"/>
        <v>Involuntary</v>
      </c>
      <c r="N540" s="23" t="s">
        <v>26</v>
      </c>
    </row>
    <row r="541" spans="1:14" x14ac:dyDescent="0.25">
      <c r="A541" s="22">
        <v>3621</v>
      </c>
      <c r="B541" s="3">
        <v>40579</v>
      </c>
      <c r="C541" s="3">
        <v>43981</v>
      </c>
      <c r="D541" s="2">
        <f t="shared" si="17"/>
        <v>9</v>
      </c>
      <c r="E541" s="4" t="str" cm="1">
        <f t="array" ref="E541">_xlfn.IFS(
D541&lt;=5,"Newcomer",
D541&lt;=10,"Proficient",
D541&gt;10,"Expert"
)</f>
        <v>Proficient</v>
      </c>
      <c r="F541" s="2" t="s">
        <v>112</v>
      </c>
      <c r="G541" s="5" t="s">
        <v>62</v>
      </c>
      <c r="H541" s="5" t="s">
        <v>63</v>
      </c>
      <c r="I541" s="2">
        <v>24</v>
      </c>
      <c r="J541" s="2" t="s">
        <v>24</v>
      </c>
      <c r="K541" s="2" t="s">
        <v>25</v>
      </c>
      <c r="L541" s="2" t="s">
        <v>96</v>
      </c>
      <c r="M541" s="4" t="str">
        <f t="shared" si="16"/>
        <v>Involuntary</v>
      </c>
      <c r="N541" s="23" t="s">
        <v>26</v>
      </c>
    </row>
    <row r="542" spans="1:14" x14ac:dyDescent="0.25">
      <c r="A542" s="22">
        <v>3626</v>
      </c>
      <c r="B542" s="3">
        <v>35806</v>
      </c>
      <c r="C542" s="3">
        <v>44033</v>
      </c>
      <c r="D542" s="2">
        <f t="shared" si="17"/>
        <v>22</v>
      </c>
      <c r="E542" s="4" t="str" cm="1">
        <f t="array" ref="E542">_xlfn.IFS(
D542&lt;=5,"Newcomer",
D542&lt;=10,"Proficient",
D542&gt;10,"Expert"
)</f>
        <v>Expert</v>
      </c>
      <c r="F542" s="2" t="s">
        <v>90</v>
      </c>
      <c r="G542" s="5" t="s">
        <v>42</v>
      </c>
      <c r="H542" s="5" t="s">
        <v>105</v>
      </c>
      <c r="I542" s="2">
        <v>26</v>
      </c>
      <c r="J542" s="2" t="s">
        <v>24</v>
      </c>
      <c r="K542" s="2" t="s">
        <v>25</v>
      </c>
      <c r="L542" s="2" t="s">
        <v>96</v>
      </c>
      <c r="M542" s="4" t="str">
        <f t="shared" si="16"/>
        <v>Involuntary</v>
      </c>
      <c r="N542" s="23" t="s">
        <v>26</v>
      </c>
    </row>
    <row r="543" spans="1:14" x14ac:dyDescent="0.25">
      <c r="A543" s="22">
        <v>3632</v>
      </c>
      <c r="B543" s="3">
        <v>41442</v>
      </c>
      <c r="C543" s="3">
        <v>43835</v>
      </c>
      <c r="D543" s="2">
        <f t="shared" si="17"/>
        <v>7</v>
      </c>
      <c r="E543" s="4" t="str" cm="1">
        <f t="array" ref="E543">_xlfn.IFS(
D543&lt;=5,"Newcomer",
D543&lt;=10,"Proficient",
D543&gt;10,"Expert"
)</f>
        <v>Proficient</v>
      </c>
      <c r="F543" s="2" t="s">
        <v>115</v>
      </c>
      <c r="G543" s="5" t="s">
        <v>35</v>
      </c>
      <c r="H543" s="5" t="s">
        <v>76</v>
      </c>
      <c r="I543" s="2">
        <v>17</v>
      </c>
      <c r="J543" s="2" t="s">
        <v>24</v>
      </c>
      <c r="K543" s="2" t="s">
        <v>25</v>
      </c>
      <c r="L543" s="2" t="s">
        <v>96</v>
      </c>
      <c r="M543" s="4" t="str">
        <f t="shared" si="16"/>
        <v>Involuntary</v>
      </c>
      <c r="N543" s="23" t="s">
        <v>26</v>
      </c>
    </row>
    <row r="544" spans="1:14" x14ac:dyDescent="0.25">
      <c r="A544" s="22">
        <v>3635</v>
      </c>
      <c r="B544" s="3">
        <v>39715</v>
      </c>
      <c r="C544" s="3">
        <v>44127</v>
      </c>
      <c r="D544" s="2">
        <f t="shared" si="17"/>
        <v>12</v>
      </c>
      <c r="E544" s="4" t="str" cm="1">
        <f t="array" ref="E544">_xlfn.IFS(
D544&lt;=5,"Newcomer",
D544&lt;=10,"Proficient",
D544&gt;10,"Expert"
)</f>
        <v>Expert</v>
      </c>
      <c r="F544" s="2" t="s">
        <v>78</v>
      </c>
      <c r="G544" s="5" t="s">
        <v>35</v>
      </c>
      <c r="H544" s="5" t="s">
        <v>76</v>
      </c>
      <c r="I544" s="2">
        <v>21</v>
      </c>
      <c r="J544" s="2" t="s">
        <v>24</v>
      </c>
      <c r="K544" s="2" t="s">
        <v>25</v>
      </c>
      <c r="L544" s="2" t="s">
        <v>96</v>
      </c>
      <c r="M544" s="4" t="str">
        <f t="shared" si="16"/>
        <v>Involuntary</v>
      </c>
      <c r="N544" s="23" t="s">
        <v>26</v>
      </c>
    </row>
    <row r="545" spans="1:14" x14ac:dyDescent="0.25">
      <c r="A545" s="22">
        <v>3644</v>
      </c>
      <c r="B545" s="3">
        <v>38302</v>
      </c>
      <c r="C545" s="3">
        <v>44086</v>
      </c>
      <c r="D545" s="2">
        <f t="shared" si="17"/>
        <v>16</v>
      </c>
      <c r="E545" s="4" t="str" cm="1">
        <f t="array" ref="E545">_xlfn.IFS(
D545&lt;=5,"Newcomer",
D545&lt;=10,"Proficient",
D545&gt;10,"Expert"
)</f>
        <v>Expert</v>
      </c>
      <c r="F545" s="2" t="s">
        <v>102</v>
      </c>
      <c r="G545" s="5" t="s">
        <v>67</v>
      </c>
      <c r="H545" s="5" t="s">
        <v>113</v>
      </c>
      <c r="I545" s="2">
        <v>1</v>
      </c>
      <c r="J545" s="2" t="s">
        <v>24</v>
      </c>
      <c r="K545" s="2" t="s">
        <v>25</v>
      </c>
      <c r="L545" s="2" t="s">
        <v>96</v>
      </c>
      <c r="M545" s="4" t="str">
        <f t="shared" si="16"/>
        <v>Involuntary</v>
      </c>
      <c r="N545" s="23" t="s">
        <v>26</v>
      </c>
    </row>
    <row r="546" spans="1:14" x14ac:dyDescent="0.25">
      <c r="A546" s="22">
        <v>3647</v>
      </c>
      <c r="B546" s="3">
        <v>38003</v>
      </c>
      <c r="C546" s="3">
        <v>44114</v>
      </c>
      <c r="D546" s="2">
        <f t="shared" si="17"/>
        <v>16</v>
      </c>
      <c r="E546" s="4" t="str" cm="1">
        <f t="array" ref="E546">_xlfn.IFS(
D546&lt;=5,"Newcomer",
D546&lt;=10,"Proficient",
D546&gt;10,"Expert"
)</f>
        <v>Expert</v>
      </c>
      <c r="F546" s="2" t="s">
        <v>78</v>
      </c>
      <c r="G546" s="5" t="s">
        <v>42</v>
      </c>
      <c r="H546" s="5" t="s">
        <v>105</v>
      </c>
      <c r="I546" s="2">
        <v>21</v>
      </c>
      <c r="J546" s="2" t="s">
        <v>24</v>
      </c>
      <c r="K546" s="2" t="s">
        <v>25</v>
      </c>
      <c r="L546" s="2" t="s">
        <v>96</v>
      </c>
      <c r="M546" s="4" t="str">
        <f t="shared" si="16"/>
        <v>Involuntary</v>
      </c>
      <c r="N546" s="23" t="s">
        <v>26</v>
      </c>
    </row>
    <row r="547" spans="1:14" x14ac:dyDescent="0.25">
      <c r="A547" s="22">
        <v>3648</v>
      </c>
      <c r="B547" s="3">
        <v>41804</v>
      </c>
      <c r="C547" s="3">
        <v>44184</v>
      </c>
      <c r="D547" s="2">
        <f t="shared" si="17"/>
        <v>6</v>
      </c>
      <c r="E547" s="4" t="str" cm="1">
        <f t="array" ref="E547">_xlfn.IFS(
D547&lt;=5,"Newcomer",
D547&lt;=10,"Proficient",
D547&gt;10,"Expert"
)</f>
        <v>Proficient</v>
      </c>
      <c r="F547" s="2" t="s">
        <v>30</v>
      </c>
      <c r="G547" s="5" t="s">
        <v>42</v>
      </c>
      <c r="H547" s="5" t="s">
        <v>105</v>
      </c>
      <c r="I547" s="2">
        <v>37</v>
      </c>
      <c r="J547" s="2" t="s">
        <v>24</v>
      </c>
      <c r="K547" s="2" t="s">
        <v>25</v>
      </c>
      <c r="L547" s="2" t="s">
        <v>96</v>
      </c>
      <c r="M547" s="4" t="str">
        <f t="shared" si="16"/>
        <v>Involuntary</v>
      </c>
      <c r="N547" s="23" t="s">
        <v>26</v>
      </c>
    </row>
    <row r="548" spans="1:14" x14ac:dyDescent="0.25">
      <c r="A548" s="22">
        <v>3653</v>
      </c>
      <c r="B548" s="3">
        <v>36692</v>
      </c>
      <c r="C548" s="3">
        <v>44004</v>
      </c>
      <c r="D548" s="2">
        <f t="shared" si="17"/>
        <v>20</v>
      </c>
      <c r="E548" s="4" t="str" cm="1">
        <f t="array" ref="E548">_xlfn.IFS(
D548&lt;=5,"Newcomer",
D548&lt;=10,"Proficient",
D548&gt;10,"Expert"
)</f>
        <v>Expert</v>
      </c>
      <c r="F548" s="2" t="s">
        <v>79</v>
      </c>
      <c r="G548" s="5" t="s">
        <v>35</v>
      </c>
      <c r="H548" s="5" t="s">
        <v>76</v>
      </c>
      <c r="I548" s="2">
        <v>25</v>
      </c>
      <c r="J548" s="2" t="s">
        <v>24</v>
      </c>
      <c r="K548" s="2" t="s">
        <v>25</v>
      </c>
      <c r="L548" s="2" t="s">
        <v>96</v>
      </c>
      <c r="M548" s="4" t="str">
        <f t="shared" si="16"/>
        <v>Involuntary</v>
      </c>
      <c r="N548" s="23" t="s">
        <v>26</v>
      </c>
    </row>
    <row r="549" spans="1:14" x14ac:dyDescent="0.25">
      <c r="A549" s="22">
        <v>3657</v>
      </c>
      <c r="B549" s="3">
        <v>33409</v>
      </c>
      <c r="C549" s="3">
        <v>43903</v>
      </c>
      <c r="D549" s="2">
        <f t="shared" si="17"/>
        <v>29</v>
      </c>
      <c r="E549" s="4" t="str" cm="1">
        <f t="array" ref="E549">_xlfn.IFS(
D549&lt;=5,"Newcomer",
D549&lt;=10,"Proficient",
D549&gt;10,"Expert"
)</f>
        <v>Expert</v>
      </c>
      <c r="F549" s="2" t="s">
        <v>30</v>
      </c>
      <c r="G549" s="5" t="s">
        <v>42</v>
      </c>
      <c r="H549" s="5" t="s">
        <v>105</v>
      </c>
      <c r="I549" s="2">
        <v>37</v>
      </c>
      <c r="J549" s="2" t="s">
        <v>24</v>
      </c>
      <c r="K549" s="2" t="s">
        <v>25</v>
      </c>
      <c r="L549" s="2" t="s">
        <v>96</v>
      </c>
      <c r="M549" s="4" t="str">
        <f t="shared" si="16"/>
        <v>Involuntary</v>
      </c>
      <c r="N549" s="23" t="s">
        <v>26</v>
      </c>
    </row>
    <row r="550" spans="1:14" x14ac:dyDescent="0.25">
      <c r="A550" s="22">
        <v>3658</v>
      </c>
      <c r="B550" s="3">
        <v>38383</v>
      </c>
      <c r="C550" s="3">
        <v>44058</v>
      </c>
      <c r="D550" s="2">
        <f t="shared" si="17"/>
        <v>15</v>
      </c>
      <c r="E550" s="4" t="str" cm="1">
        <f t="array" ref="E550">_xlfn.IFS(
D550&lt;=5,"Newcomer",
D550&lt;=10,"Proficient",
D550&gt;10,"Expert"
)</f>
        <v>Expert</v>
      </c>
      <c r="F550" s="2" t="s">
        <v>91</v>
      </c>
      <c r="G550" s="5" t="s">
        <v>42</v>
      </c>
      <c r="H550" s="5" t="s">
        <v>105</v>
      </c>
      <c r="I550" s="2">
        <v>29</v>
      </c>
      <c r="J550" s="2" t="s">
        <v>24</v>
      </c>
      <c r="K550" s="2" t="s">
        <v>25</v>
      </c>
      <c r="L550" s="2" t="s">
        <v>96</v>
      </c>
      <c r="M550" s="4" t="str">
        <f t="shared" si="16"/>
        <v>Involuntary</v>
      </c>
      <c r="N550" s="23" t="s">
        <v>26</v>
      </c>
    </row>
    <row r="551" spans="1:14" x14ac:dyDescent="0.25">
      <c r="A551" s="22">
        <v>3659</v>
      </c>
      <c r="B551" s="3">
        <v>41876</v>
      </c>
      <c r="C551" s="3">
        <v>44173</v>
      </c>
      <c r="D551" s="2">
        <f t="shared" si="17"/>
        <v>6</v>
      </c>
      <c r="E551" s="4" t="str" cm="1">
        <f t="array" ref="E551">_xlfn.IFS(
D551&lt;=5,"Newcomer",
D551&lt;=10,"Proficient",
D551&gt;10,"Expert"
)</f>
        <v>Proficient</v>
      </c>
      <c r="F551" s="2" t="s">
        <v>30</v>
      </c>
      <c r="G551" s="5" t="s">
        <v>42</v>
      </c>
      <c r="H551" s="5" t="s">
        <v>105</v>
      </c>
      <c r="I551" s="2">
        <v>37</v>
      </c>
      <c r="J551" s="2" t="s">
        <v>24</v>
      </c>
      <c r="K551" s="2" t="s">
        <v>25</v>
      </c>
      <c r="L551" s="2" t="s">
        <v>96</v>
      </c>
      <c r="M551" s="4" t="str">
        <f t="shared" si="16"/>
        <v>Involuntary</v>
      </c>
      <c r="N551" s="23" t="s">
        <v>26</v>
      </c>
    </row>
    <row r="552" spans="1:14" x14ac:dyDescent="0.25">
      <c r="A552" s="22">
        <v>3660</v>
      </c>
      <c r="B552" s="3">
        <v>34614</v>
      </c>
      <c r="C552" s="3">
        <v>43881</v>
      </c>
      <c r="D552" s="2">
        <f t="shared" si="17"/>
        <v>26</v>
      </c>
      <c r="E552" s="4" t="str" cm="1">
        <f t="array" ref="E552">_xlfn.IFS(
D552&lt;=5,"Newcomer",
D552&lt;=10,"Proficient",
D552&gt;10,"Expert"
)</f>
        <v>Expert</v>
      </c>
      <c r="F552" s="2" t="s">
        <v>14</v>
      </c>
      <c r="G552" s="5" t="s">
        <v>62</v>
      </c>
      <c r="H552" s="5" t="s">
        <v>63</v>
      </c>
      <c r="I552" s="2">
        <v>35</v>
      </c>
      <c r="J552" s="2" t="s">
        <v>24</v>
      </c>
      <c r="K552" s="2" t="s">
        <v>25</v>
      </c>
      <c r="L552" s="2" t="s">
        <v>96</v>
      </c>
      <c r="M552" s="4" t="str">
        <f t="shared" si="16"/>
        <v>Involuntary</v>
      </c>
      <c r="N552" s="23" t="s">
        <v>26</v>
      </c>
    </row>
    <row r="553" spans="1:14" x14ac:dyDescent="0.25">
      <c r="A553" s="22">
        <v>3661</v>
      </c>
      <c r="B553" s="3">
        <v>38075</v>
      </c>
      <c r="C553" s="3">
        <v>43983</v>
      </c>
      <c r="D553" s="2">
        <f t="shared" si="17"/>
        <v>16</v>
      </c>
      <c r="E553" s="4" t="str" cm="1">
        <f t="array" ref="E553">_xlfn.IFS(
D553&lt;=5,"Newcomer",
D553&lt;=10,"Proficient",
D553&gt;10,"Expert"
)</f>
        <v>Expert</v>
      </c>
      <c r="F553" s="2" t="s">
        <v>80</v>
      </c>
      <c r="G553" s="5" t="s">
        <v>62</v>
      </c>
      <c r="H553" s="5" t="s">
        <v>63</v>
      </c>
      <c r="I553" s="2">
        <v>7</v>
      </c>
      <c r="J553" s="2" t="s">
        <v>17</v>
      </c>
      <c r="K553" s="2" t="s">
        <v>18</v>
      </c>
      <c r="L553" s="2" t="s">
        <v>96</v>
      </c>
      <c r="M553" s="4" t="str">
        <f t="shared" si="16"/>
        <v>Involuntary</v>
      </c>
      <c r="N553" s="23" t="s">
        <v>26</v>
      </c>
    </row>
    <row r="554" spans="1:14" x14ac:dyDescent="0.25">
      <c r="A554" s="22">
        <v>3662</v>
      </c>
      <c r="B554" s="3">
        <v>39860</v>
      </c>
      <c r="C554" s="3">
        <v>44124</v>
      </c>
      <c r="D554" s="2">
        <f t="shared" si="17"/>
        <v>11</v>
      </c>
      <c r="E554" s="4" t="str" cm="1">
        <f t="array" ref="E554">_xlfn.IFS(
D554&lt;=5,"Newcomer",
D554&lt;=10,"Proficient",
D554&gt;10,"Expert"
)</f>
        <v>Expert</v>
      </c>
      <c r="F554" s="2" t="s">
        <v>44</v>
      </c>
      <c r="G554" s="5" t="s">
        <v>42</v>
      </c>
      <c r="H554" s="5" t="s">
        <v>105</v>
      </c>
      <c r="I554" s="2">
        <v>18</v>
      </c>
      <c r="J554" s="2" t="s">
        <v>24</v>
      </c>
      <c r="K554" s="2" t="s">
        <v>25</v>
      </c>
      <c r="L554" s="2" t="s">
        <v>96</v>
      </c>
      <c r="M554" s="4" t="str">
        <f t="shared" si="16"/>
        <v>Involuntary</v>
      </c>
      <c r="N554" s="23" t="s">
        <v>26</v>
      </c>
    </row>
    <row r="555" spans="1:14" x14ac:dyDescent="0.25">
      <c r="A555" s="22">
        <v>3663</v>
      </c>
      <c r="B555" s="3">
        <v>35482</v>
      </c>
      <c r="C555" s="3">
        <v>43982</v>
      </c>
      <c r="D555" s="2">
        <f t="shared" si="17"/>
        <v>23</v>
      </c>
      <c r="E555" s="4" t="str" cm="1">
        <f t="array" ref="E555">_xlfn.IFS(
D555&lt;=5,"Newcomer",
D555&lt;=10,"Proficient",
D555&gt;10,"Expert"
)</f>
        <v>Expert</v>
      </c>
      <c r="F555" s="2" t="s">
        <v>44</v>
      </c>
      <c r="G555" s="5" t="s">
        <v>42</v>
      </c>
      <c r="H555" s="5" t="s">
        <v>105</v>
      </c>
      <c r="I555" s="2">
        <v>18</v>
      </c>
      <c r="J555" s="2" t="s">
        <v>24</v>
      </c>
      <c r="K555" s="2" t="s">
        <v>25</v>
      </c>
      <c r="L555" s="2" t="s">
        <v>96</v>
      </c>
      <c r="M555" s="4" t="str">
        <f t="shared" si="16"/>
        <v>Involuntary</v>
      </c>
      <c r="N555" s="23" t="s">
        <v>26</v>
      </c>
    </row>
    <row r="556" spans="1:14" x14ac:dyDescent="0.25">
      <c r="A556" s="22">
        <v>3664</v>
      </c>
      <c r="B556" s="3">
        <v>33057</v>
      </c>
      <c r="C556" s="3">
        <v>44036</v>
      </c>
      <c r="D556" s="2">
        <f t="shared" si="17"/>
        <v>30</v>
      </c>
      <c r="E556" s="4" t="str" cm="1">
        <f t="array" ref="E556">_xlfn.IFS(
D556&lt;=5,"Newcomer",
D556&lt;=10,"Proficient",
D556&gt;10,"Expert"
)</f>
        <v>Expert</v>
      </c>
      <c r="F556" s="2" t="s">
        <v>14</v>
      </c>
      <c r="G556" s="5" t="s">
        <v>62</v>
      </c>
      <c r="H556" s="5" t="s">
        <v>63</v>
      </c>
      <c r="I556" s="2">
        <v>35</v>
      </c>
      <c r="J556" s="2" t="s">
        <v>24</v>
      </c>
      <c r="K556" s="2" t="s">
        <v>25</v>
      </c>
      <c r="L556" s="2" t="s">
        <v>96</v>
      </c>
      <c r="M556" s="4" t="str">
        <f t="shared" si="16"/>
        <v>Involuntary</v>
      </c>
      <c r="N556" s="23" t="s">
        <v>26</v>
      </c>
    </row>
    <row r="557" spans="1:14" x14ac:dyDescent="0.25">
      <c r="A557" s="22">
        <v>3680</v>
      </c>
      <c r="B557" s="3">
        <v>39947</v>
      </c>
      <c r="C557" s="3">
        <v>44022</v>
      </c>
      <c r="D557" s="2">
        <f t="shared" si="17"/>
        <v>11</v>
      </c>
      <c r="E557" s="4" t="str" cm="1">
        <f t="array" ref="E557">_xlfn.IFS(
D557&lt;=5,"Newcomer",
D557&lt;=10,"Proficient",
D557&gt;10,"Expert"
)</f>
        <v>Expert</v>
      </c>
      <c r="F557" s="2" t="s">
        <v>78</v>
      </c>
      <c r="G557" s="5" t="s">
        <v>42</v>
      </c>
      <c r="H557" s="5" t="s">
        <v>105</v>
      </c>
      <c r="I557" s="2">
        <v>21</v>
      </c>
      <c r="J557" s="2" t="s">
        <v>24</v>
      </c>
      <c r="K557" s="2" t="s">
        <v>25</v>
      </c>
      <c r="L557" s="2" t="s">
        <v>96</v>
      </c>
      <c r="M557" s="4" t="str">
        <f t="shared" si="16"/>
        <v>Involuntary</v>
      </c>
      <c r="N557" s="23" t="s">
        <v>26</v>
      </c>
    </row>
    <row r="558" spans="1:14" x14ac:dyDescent="0.25">
      <c r="A558" s="22">
        <v>3683</v>
      </c>
      <c r="B558" s="3">
        <v>33211</v>
      </c>
      <c r="C558" s="3">
        <v>44078</v>
      </c>
      <c r="D558" s="2">
        <f t="shared" si="17"/>
        <v>30</v>
      </c>
      <c r="E558" s="4" t="str" cm="1">
        <f t="array" ref="E558">_xlfn.IFS(
D558&lt;=5,"Newcomer",
D558&lt;=10,"Proficient",
D558&gt;10,"Expert"
)</f>
        <v>Expert</v>
      </c>
      <c r="F558" s="2" t="s">
        <v>101</v>
      </c>
      <c r="G558" s="5" t="s">
        <v>35</v>
      </c>
      <c r="H558" s="5" t="s">
        <v>76</v>
      </c>
      <c r="I558" s="2">
        <v>38</v>
      </c>
      <c r="J558" s="2" t="s">
        <v>24</v>
      </c>
      <c r="K558" s="2" t="s">
        <v>25</v>
      </c>
      <c r="L558" s="2" t="s">
        <v>96</v>
      </c>
      <c r="M558" s="4" t="str">
        <f t="shared" si="16"/>
        <v>Involuntary</v>
      </c>
      <c r="N558" s="23" t="s">
        <v>26</v>
      </c>
    </row>
    <row r="559" spans="1:14" x14ac:dyDescent="0.25">
      <c r="A559" s="22">
        <v>3686</v>
      </c>
      <c r="B559" s="3">
        <v>35596</v>
      </c>
      <c r="C559" s="3">
        <v>44189</v>
      </c>
      <c r="D559" s="2">
        <f t="shared" si="17"/>
        <v>23</v>
      </c>
      <c r="E559" s="4" t="str" cm="1">
        <f t="array" ref="E559">_xlfn.IFS(
D559&lt;=5,"Newcomer",
D559&lt;=10,"Proficient",
D559&gt;10,"Expert"
)</f>
        <v>Expert</v>
      </c>
      <c r="F559" s="2" t="s">
        <v>86</v>
      </c>
      <c r="G559" s="5" t="s">
        <v>42</v>
      </c>
      <c r="H559" s="5" t="s">
        <v>105</v>
      </c>
      <c r="I559" s="2">
        <v>8</v>
      </c>
      <c r="J559" s="2" t="s">
        <v>24</v>
      </c>
      <c r="K559" s="2" t="s">
        <v>25</v>
      </c>
      <c r="L559" s="2" t="s">
        <v>96</v>
      </c>
      <c r="M559" s="4" t="str">
        <f t="shared" si="16"/>
        <v>Involuntary</v>
      </c>
      <c r="N559" s="23" t="s">
        <v>26</v>
      </c>
    </row>
    <row r="560" spans="1:14" x14ac:dyDescent="0.25">
      <c r="A560" s="22">
        <v>3689</v>
      </c>
      <c r="B560" s="3">
        <v>35747</v>
      </c>
      <c r="C560" s="3">
        <v>43981</v>
      </c>
      <c r="D560" s="2">
        <f t="shared" si="17"/>
        <v>23</v>
      </c>
      <c r="E560" s="4" t="str" cm="1">
        <f t="array" ref="E560">_xlfn.IFS(
D560&lt;=5,"Newcomer",
D560&lt;=10,"Proficient",
D560&gt;10,"Expert"
)</f>
        <v>Expert</v>
      </c>
      <c r="F560" s="2" t="s">
        <v>70</v>
      </c>
      <c r="G560" s="5" t="s">
        <v>42</v>
      </c>
      <c r="H560" s="5" t="s">
        <v>105</v>
      </c>
      <c r="I560" s="2">
        <v>6</v>
      </c>
      <c r="J560" s="2" t="s">
        <v>24</v>
      </c>
      <c r="K560" s="2" t="s">
        <v>25</v>
      </c>
      <c r="L560" s="2" t="s">
        <v>96</v>
      </c>
      <c r="M560" s="4" t="str">
        <f t="shared" si="16"/>
        <v>Involuntary</v>
      </c>
      <c r="N560" s="23" t="s">
        <v>26</v>
      </c>
    </row>
    <row r="561" spans="1:14" x14ac:dyDescent="0.25">
      <c r="A561" s="22">
        <v>3690</v>
      </c>
      <c r="B561" s="3">
        <v>35528</v>
      </c>
      <c r="C561" s="3">
        <v>44015</v>
      </c>
      <c r="D561" s="2">
        <f t="shared" si="17"/>
        <v>23</v>
      </c>
      <c r="E561" s="4" t="str" cm="1">
        <f t="array" ref="E561">_xlfn.IFS(
D561&lt;=5,"Newcomer",
D561&lt;=10,"Proficient",
D561&gt;10,"Expert"
)</f>
        <v>Expert</v>
      </c>
      <c r="F561" s="2" t="s">
        <v>108</v>
      </c>
      <c r="G561" s="5" t="s">
        <v>35</v>
      </c>
      <c r="H561" s="5" t="s">
        <v>76</v>
      </c>
      <c r="I561" s="2">
        <v>14</v>
      </c>
      <c r="J561" s="2" t="s">
        <v>17</v>
      </c>
      <c r="K561" s="2" t="s">
        <v>18</v>
      </c>
      <c r="L561" s="2" t="s">
        <v>96</v>
      </c>
      <c r="M561" s="4" t="str">
        <f t="shared" si="16"/>
        <v>Involuntary</v>
      </c>
      <c r="N561" s="23" t="s">
        <v>26</v>
      </c>
    </row>
    <row r="562" spans="1:14" x14ac:dyDescent="0.25">
      <c r="A562" s="22">
        <v>3692</v>
      </c>
      <c r="B562" s="3">
        <v>34020</v>
      </c>
      <c r="C562" s="3">
        <v>44070</v>
      </c>
      <c r="D562" s="2">
        <f t="shared" si="17"/>
        <v>27</v>
      </c>
      <c r="E562" s="4" t="str" cm="1">
        <f t="array" ref="E562">_xlfn.IFS(
D562&lt;=5,"Newcomer",
D562&lt;=10,"Proficient",
D562&gt;10,"Expert"
)</f>
        <v>Expert</v>
      </c>
      <c r="F562" s="2" t="s">
        <v>100</v>
      </c>
      <c r="G562" s="5" t="s">
        <v>42</v>
      </c>
      <c r="H562" s="5" t="s">
        <v>105</v>
      </c>
      <c r="I562" s="2">
        <v>13</v>
      </c>
      <c r="J562" s="2" t="s">
        <v>24</v>
      </c>
      <c r="K562" s="2" t="s">
        <v>25</v>
      </c>
      <c r="L562" s="2" t="s">
        <v>96</v>
      </c>
      <c r="M562" s="4" t="str">
        <f t="shared" si="16"/>
        <v>Involuntary</v>
      </c>
      <c r="N562" s="23" t="s">
        <v>26</v>
      </c>
    </row>
    <row r="563" spans="1:14" x14ac:dyDescent="0.25">
      <c r="A563" s="22">
        <v>3698</v>
      </c>
      <c r="B563" s="3">
        <v>34340</v>
      </c>
      <c r="C563" s="3">
        <v>44046</v>
      </c>
      <c r="D563" s="2">
        <f t="shared" si="17"/>
        <v>26</v>
      </c>
      <c r="E563" s="4" t="str" cm="1">
        <f t="array" ref="E563">_xlfn.IFS(
D563&lt;=5,"Newcomer",
D563&lt;=10,"Proficient",
D563&gt;10,"Expert"
)</f>
        <v>Expert</v>
      </c>
      <c r="F563" s="2" t="s">
        <v>102</v>
      </c>
      <c r="G563" s="5" t="s">
        <v>67</v>
      </c>
      <c r="H563" s="5" t="s">
        <v>113</v>
      </c>
      <c r="I563" s="2">
        <v>1</v>
      </c>
      <c r="J563" s="2" t="s">
        <v>24</v>
      </c>
      <c r="K563" s="2" t="s">
        <v>25</v>
      </c>
      <c r="L563" s="2" t="s">
        <v>96</v>
      </c>
      <c r="M563" s="4" t="str">
        <f t="shared" si="16"/>
        <v>Involuntary</v>
      </c>
      <c r="N563" s="23" t="s">
        <v>26</v>
      </c>
    </row>
    <row r="564" spans="1:14" x14ac:dyDescent="0.25">
      <c r="A564" s="22">
        <v>3703</v>
      </c>
      <c r="B564" s="3">
        <v>35272</v>
      </c>
      <c r="C564" s="3">
        <v>44134</v>
      </c>
      <c r="D564" s="2">
        <f t="shared" si="17"/>
        <v>24</v>
      </c>
      <c r="E564" s="4" t="str" cm="1">
        <f t="array" ref="E564">_xlfn.IFS(
D564&lt;=5,"Newcomer",
D564&lt;=10,"Proficient",
D564&gt;10,"Expert"
)</f>
        <v>Expert</v>
      </c>
      <c r="F564" s="2" t="s">
        <v>14</v>
      </c>
      <c r="G564" s="5" t="s">
        <v>35</v>
      </c>
      <c r="H564" s="5" t="s">
        <v>76</v>
      </c>
      <c r="I564" s="2">
        <v>35</v>
      </c>
      <c r="J564" s="2" t="s">
        <v>24</v>
      </c>
      <c r="K564" s="2" t="s">
        <v>25</v>
      </c>
      <c r="L564" s="2" t="s">
        <v>96</v>
      </c>
      <c r="M564" s="4" t="str">
        <f t="shared" si="16"/>
        <v>Involuntary</v>
      </c>
      <c r="N564" s="23" t="s">
        <v>26</v>
      </c>
    </row>
    <row r="565" spans="1:14" x14ac:dyDescent="0.25">
      <c r="A565" s="22">
        <v>3706</v>
      </c>
      <c r="B565" s="3">
        <v>34931</v>
      </c>
      <c r="C565" s="3">
        <v>44124</v>
      </c>
      <c r="D565" s="2">
        <f t="shared" si="17"/>
        <v>25</v>
      </c>
      <c r="E565" s="4" t="str" cm="1">
        <f t="array" ref="E565">_xlfn.IFS(
D565&lt;=5,"Newcomer",
D565&lt;=10,"Proficient",
D565&gt;10,"Expert"
)</f>
        <v>Expert</v>
      </c>
      <c r="F565" s="2" t="s">
        <v>27</v>
      </c>
      <c r="G565" s="5" t="s">
        <v>42</v>
      </c>
      <c r="H565" s="5" t="s">
        <v>105</v>
      </c>
      <c r="I565" s="2">
        <v>16</v>
      </c>
      <c r="J565" s="2" t="s">
        <v>24</v>
      </c>
      <c r="K565" s="2" t="s">
        <v>25</v>
      </c>
      <c r="L565" s="2" t="s">
        <v>96</v>
      </c>
      <c r="M565" s="4" t="str">
        <f t="shared" si="16"/>
        <v>Involuntary</v>
      </c>
      <c r="N565" s="23" t="s">
        <v>26</v>
      </c>
    </row>
    <row r="566" spans="1:14" x14ac:dyDescent="0.25">
      <c r="A566" s="22">
        <v>3711</v>
      </c>
      <c r="B566" s="3">
        <v>39798</v>
      </c>
      <c r="C566" s="3">
        <v>44112</v>
      </c>
      <c r="D566" s="2">
        <f t="shared" si="17"/>
        <v>12</v>
      </c>
      <c r="E566" s="4" t="str" cm="1">
        <f t="array" ref="E566">_xlfn.IFS(
D566&lt;=5,"Newcomer",
D566&lt;=10,"Proficient",
D566&gt;10,"Expert"
)</f>
        <v>Expert</v>
      </c>
      <c r="F566" s="2" t="s">
        <v>104</v>
      </c>
      <c r="G566" s="5" t="s">
        <v>67</v>
      </c>
      <c r="H566" s="5" t="s">
        <v>113</v>
      </c>
      <c r="I566" s="2">
        <v>39</v>
      </c>
      <c r="J566" s="2" t="s">
        <v>24</v>
      </c>
      <c r="K566" s="2" t="s">
        <v>25</v>
      </c>
      <c r="L566" s="2" t="s">
        <v>96</v>
      </c>
      <c r="M566" s="4" t="str">
        <f t="shared" si="16"/>
        <v>Involuntary</v>
      </c>
      <c r="N566" s="23" t="s">
        <v>26</v>
      </c>
    </row>
    <row r="567" spans="1:14" x14ac:dyDescent="0.25">
      <c r="A567" s="22">
        <v>3718</v>
      </c>
      <c r="B567" s="3">
        <v>37945</v>
      </c>
      <c r="C567" s="3">
        <v>43838</v>
      </c>
      <c r="D567" s="2">
        <f t="shared" si="17"/>
        <v>17</v>
      </c>
      <c r="E567" s="4" t="str" cm="1">
        <f t="array" ref="E567">_xlfn.IFS(
D567&lt;=5,"Newcomer",
D567&lt;=10,"Proficient",
D567&gt;10,"Expert"
)</f>
        <v>Expert</v>
      </c>
      <c r="F567" s="2" t="s">
        <v>89</v>
      </c>
      <c r="G567" s="5" t="s">
        <v>42</v>
      </c>
      <c r="H567" s="5" t="s">
        <v>105</v>
      </c>
      <c r="I567" s="2">
        <v>33</v>
      </c>
      <c r="J567" s="2" t="s">
        <v>24</v>
      </c>
      <c r="K567" s="2" t="s">
        <v>25</v>
      </c>
      <c r="L567" s="2" t="s">
        <v>96</v>
      </c>
      <c r="M567" s="4" t="str">
        <f t="shared" si="16"/>
        <v>Involuntary</v>
      </c>
      <c r="N567" s="23" t="s">
        <v>26</v>
      </c>
    </row>
    <row r="568" spans="1:14" x14ac:dyDescent="0.25">
      <c r="A568" s="22">
        <v>3721</v>
      </c>
      <c r="B568" s="3">
        <v>40605</v>
      </c>
      <c r="C568" s="3">
        <v>43957</v>
      </c>
      <c r="D568" s="2">
        <f t="shared" si="17"/>
        <v>9</v>
      </c>
      <c r="E568" s="4" t="str" cm="1">
        <f t="array" ref="E568">_xlfn.IFS(
D568&lt;=5,"Newcomer",
D568&lt;=10,"Proficient",
D568&gt;10,"Expert"
)</f>
        <v>Proficient</v>
      </c>
      <c r="F568" s="2" t="s">
        <v>91</v>
      </c>
      <c r="G568" s="5" t="s">
        <v>42</v>
      </c>
      <c r="H568" s="5" t="s">
        <v>105</v>
      </c>
      <c r="I568" s="2">
        <v>29</v>
      </c>
      <c r="J568" s="2" t="s">
        <v>24</v>
      </c>
      <c r="K568" s="2" t="s">
        <v>25</v>
      </c>
      <c r="L568" s="2" t="s">
        <v>96</v>
      </c>
      <c r="M568" s="4" t="str">
        <f t="shared" si="16"/>
        <v>Involuntary</v>
      </c>
      <c r="N568" s="23" t="s">
        <v>26</v>
      </c>
    </row>
    <row r="569" spans="1:14" x14ac:dyDescent="0.25">
      <c r="A569" s="22">
        <v>3722</v>
      </c>
      <c r="B569" s="3">
        <v>36414</v>
      </c>
      <c r="C569" s="3">
        <v>44006</v>
      </c>
      <c r="D569" s="2">
        <f t="shared" si="17"/>
        <v>21</v>
      </c>
      <c r="E569" s="4" t="str" cm="1">
        <f t="array" ref="E569">_xlfn.IFS(
D569&lt;=5,"Newcomer",
D569&lt;=10,"Proficient",
D569&gt;10,"Expert"
)</f>
        <v>Expert</v>
      </c>
      <c r="F569" s="2" t="s">
        <v>108</v>
      </c>
      <c r="G569" s="5" t="s">
        <v>42</v>
      </c>
      <c r="H569" s="5" t="s">
        <v>105</v>
      </c>
      <c r="I569" s="2">
        <v>14</v>
      </c>
      <c r="J569" s="2" t="s">
        <v>17</v>
      </c>
      <c r="K569" s="2" t="s">
        <v>18</v>
      </c>
      <c r="L569" s="2" t="s">
        <v>96</v>
      </c>
      <c r="M569" s="4" t="str">
        <f t="shared" si="16"/>
        <v>Involuntary</v>
      </c>
      <c r="N569" s="23" t="s">
        <v>26</v>
      </c>
    </row>
    <row r="570" spans="1:14" x14ac:dyDescent="0.25">
      <c r="A570" s="22">
        <v>3730</v>
      </c>
      <c r="B570" s="3">
        <v>40757</v>
      </c>
      <c r="C570" s="3">
        <v>44134</v>
      </c>
      <c r="D570" s="2">
        <f t="shared" si="17"/>
        <v>9</v>
      </c>
      <c r="E570" s="4" t="str" cm="1">
        <f t="array" ref="E570">_xlfn.IFS(
D570&lt;=5,"Newcomer",
D570&lt;=10,"Proficient",
D570&gt;10,"Expert"
)</f>
        <v>Proficient</v>
      </c>
      <c r="F570" s="2" t="s">
        <v>44</v>
      </c>
      <c r="G570" s="5" t="s">
        <v>42</v>
      </c>
      <c r="H570" s="5" t="s">
        <v>105</v>
      </c>
      <c r="I570" s="2">
        <v>18</v>
      </c>
      <c r="J570" s="2" t="s">
        <v>24</v>
      </c>
      <c r="K570" s="2" t="s">
        <v>25</v>
      </c>
      <c r="L570" s="2" t="s">
        <v>96</v>
      </c>
      <c r="M570" s="4" t="str">
        <f t="shared" si="16"/>
        <v>Involuntary</v>
      </c>
      <c r="N570" s="23" t="s">
        <v>26</v>
      </c>
    </row>
    <row r="571" spans="1:14" x14ac:dyDescent="0.25">
      <c r="A571" s="22">
        <v>3733</v>
      </c>
      <c r="B571" s="3">
        <v>39292</v>
      </c>
      <c r="C571" s="3">
        <v>43996</v>
      </c>
      <c r="D571" s="2">
        <f t="shared" si="17"/>
        <v>13</v>
      </c>
      <c r="E571" s="4" t="str" cm="1">
        <f t="array" ref="E571">_xlfn.IFS(
D571&lt;=5,"Newcomer",
D571&lt;=10,"Proficient",
D571&gt;10,"Expert"
)</f>
        <v>Expert</v>
      </c>
      <c r="F571" s="2" t="s">
        <v>41</v>
      </c>
      <c r="G571" s="5" t="s">
        <v>42</v>
      </c>
      <c r="H571" s="5" t="s">
        <v>105</v>
      </c>
      <c r="I571" s="2">
        <v>15</v>
      </c>
      <c r="J571" s="2" t="s">
        <v>24</v>
      </c>
      <c r="K571" s="2" t="s">
        <v>25</v>
      </c>
      <c r="L571" s="2" t="s">
        <v>96</v>
      </c>
      <c r="M571" s="4" t="str">
        <f t="shared" si="16"/>
        <v>Involuntary</v>
      </c>
      <c r="N571" s="23" t="s">
        <v>26</v>
      </c>
    </row>
    <row r="572" spans="1:14" x14ac:dyDescent="0.25">
      <c r="A572" s="22">
        <v>3741</v>
      </c>
      <c r="B572" s="3">
        <v>42117</v>
      </c>
      <c r="C572" s="3">
        <v>44189</v>
      </c>
      <c r="D572" s="2">
        <f t="shared" si="17"/>
        <v>5</v>
      </c>
      <c r="E572" s="4" t="str" cm="1">
        <f t="array" ref="E572">_xlfn.IFS(
D572&lt;=5,"Newcomer",
D572&lt;=10,"Proficient",
D572&gt;10,"Expert"
)</f>
        <v>Newcomer</v>
      </c>
      <c r="F572" s="2" t="s">
        <v>14</v>
      </c>
      <c r="G572" s="5" t="s">
        <v>35</v>
      </c>
      <c r="H572" s="5" t="s">
        <v>76</v>
      </c>
      <c r="I572" s="2">
        <v>35</v>
      </c>
      <c r="J572" s="2" t="s">
        <v>24</v>
      </c>
      <c r="K572" s="2" t="s">
        <v>25</v>
      </c>
      <c r="L572" s="2" t="s">
        <v>96</v>
      </c>
      <c r="M572" s="4" t="str">
        <f t="shared" si="16"/>
        <v>Involuntary</v>
      </c>
      <c r="N572" s="23" t="s">
        <v>26</v>
      </c>
    </row>
    <row r="573" spans="1:14" x14ac:dyDescent="0.25">
      <c r="A573" s="22">
        <v>3744</v>
      </c>
      <c r="B573" s="3">
        <v>33918</v>
      </c>
      <c r="C573" s="3">
        <v>43981</v>
      </c>
      <c r="D573" s="2">
        <f t="shared" si="17"/>
        <v>28</v>
      </c>
      <c r="E573" s="4" t="str" cm="1">
        <f t="array" ref="E573">_xlfn.IFS(
D573&lt;=5,"Newcomer",
D573&lt;=10,"Proficient",
D573&gt;10,"Expert"
)</f>
        <v>Expert</v>
      </c>
      <c r="F573" s="2" t="s">
        <v>41</v>
      </c>
      <c r="G573" s="5" t="s">
        <v>42</v>
      </c>
      <c r="H573" s="5" t="s">
        <v>105</v>
      </c>
      <c r="I573" s="2">
        <v>15</v>
      </c>
      <c r="J573" s="2" t="s">
        <v>24</v>
      </c>
      <c r="K573" s="2" t="s">
        <v>25</v>
      </c>
      <c r="L573" s="2" t="s">
        <v>96</v>
      </c>
      <c r="M573" s="4" t="str">
        <f t="shared" si="16"/>
        <v>Involuntary</v>
      </c>
      <c r="N573" s="23" t="s">
        <v>26</v>
      </c>
    </row>
    <row r="574" spans="1:14" x14ac:dyDescent="0.25">
      <c r="A574" s="22">
        <v>3752</v>
      </c>
      <c r="B574" s="3">
        <v>37544</v>
      </c>
      <c r="C574" s="3">
        <v>44124</v>
      </c>
      <c r="D574" s="2">
        <f t="shared" si="17"/>
        <v>18</v>
      </c>
      <c r="E574" s="4" t="str" cm="1">
        <f t="array" ref="E574">_xlfn.IFS(
D574&lt;=5,"Newcomer",
D574&lt;=10,"Proficient",
D574&gt;10,"Expert"
)</f>
        <v>Expert</v>
      </c>
      <c r="F574" s="2" t="s">
        <v>91</v>
      </c>
      <c r="G574" s="5" t="s">
        <v>35</v>
      </c>
      <c r="H574" s="5" t="s">
        <v>76</v>
      </c>
      <c r="I574" s="2">
        <v>29</v>
      </c>
      <c r="J574" s="2" t="s">
        <v>17</v>
      </c>
      <c r="K574" s="2" t="s">
        <v>18</v>
      </c>
      <c r="L574" s="2" t="s">
        <v>50</v>
      </c>
      <c r="M574" s="4" t="str">
        <f t="shared" si="16"/>
        <v>Voluntary</v>
      </c>
      <c r="N574" s="23" t="s">
        <v>26</v>
      </c>
    </row>
    <row r="575" spans="1:14" x14ac:dyDescent="0.25">
      <c r="A575" s="22">
        <v>3753</v>
      </c>
      <c r="B575" s="3">
        <v>42135</v>
      </c>
      <c r="C575" s="3">
        <v>43912</v>
      </c>
      <c r="D575" s="2">
        <f t="shared" si="17"/>
        <v>5</v>
      </c>
      <c r="E575" s="4" t="str" cm="1">
        <f t="array" ref="E575">_xlfn.IFS(
D575&lt;=5,"Newcomer",
D575&lt;=10,"Proficient",
D575&gt;10,"Expert"
)</f>
        <v>Newcomer</v>
      </c>
      <c r="F575" s="2" t="s">
        <v>30</v>
      </c>
      <c r="G575" s="5" t="s">
        <v>42</v>
      </c>
      <c r="H575" s="5" t="s">
        <v>105</v>
      </c>
      <c r="I575" s="2">
        <v>37</v>
      </c>
      <c r="J575" s="2" t="s">
        <v>24</v>
      </c>
      <c r="K575" s="2" t="s">
        <v>25</v>
      </c>
      <c r="L575" s="2" t="s">
        <v>96</v>
      </c>
      <c r="M575" s="4" t="str">
        <f t="shared" si="16"/>
        <v>Involuntary</v>
      </c>
      <c r="N575" s="23" t="s">
        <v>26</v>
      </c>
    </row>
    <row r="576" spans="1:14" x14ac:dyDescent="0.25">
      <c r="A576" s="22">
        <v>3765</v>
      </c>
      <c r="B576" s="3">
        <v>42235</v>
      </c>
      <c r="C576" s="3">
        <v>44041</v>
      </c>
      <c r="D576" s="2">
        <f t="shared" si="17"/>
        <v>5</v>
      </c>
      <c r="E576" s="4" t="str" cm="1">
        <f t="array" ref="E576">_xlfn.IFS(
D576&lt;=5,"Newcomer",
D576&lt;=10,"Proficient",
D576&gt;10,"Expert"
)</f>
        <v>Newcomer</v>
      </c>
      <c r="F576" s="2" t="s">
        <v>101</v>
      </c>
      <c r="G576" s="5" t="s">
        <v>35</v>
      </c>
      <c r="H576" s="5" t="s">
        <v>76</v>
      </c>
      <c r="I576" s="2">
        <v>38</v>
      </c>
      <c r="J576" s="2" t="s">
        <v>24</v>
      </c>
      <c r="K576" s="2" t="s">
        <v>25</v>
      </c>
      <c r="L576" s="2" t="s">
        <v>96</v>
      </c>
      <c r="M576" s="4" t="str">
        <f t="shared" si="16"/>
        <v>Involuntary</v>
      </c>
      <c r="N576" s="23" t="s">
        <v>26</v>
      </c>
    </row>
    <row r="577" spans="1:14" x14ac:dyDescent="0.25">
      <c r="A577" s="22">
        <v>3771</v>
      </c>
      <c r="B577" s="3">
        <v>42080</v>
      </c>
      <c r="C577" s="3">
        <v>44078</v>
      </c>
      <c r="D577" s="2">
        <f t="shared" si="17"/>
        <v>5</v>
      </c>
      <c r="E577" s="4" t="str" cm="1">
        <f t="array" ref="E577">_xlfn.IFS(
D577&lt;=5,"Newcomer",
D577&lt;=10,"Proficient",
D577&gt;10,"Expert"
)</f>
        <v>Newcomer</v>
      </c>
      <c r="F577" s="2" t="s">
        <v>30</v>
      </c>
      <c r="G577" s="5" t="s">
        <v>42</v>
      </c>
      <c r="H577" s="5" t="s">
        <v>105</v>
      </c>
      <c r="I577" s="2">
        <v>37</v>
      </c>
      <c r="J577" s="2" t="s">
        <v>24</v>
      </c>
      <c r="K577" s="2" t="s">
        <v>25</v>
      </c>
      <c r="L577" s="2" t="s">
        <v>96</v>
      </c>
      <c r="M577" s="4" t="str">
        <f t="shared" si="16"/>
        <v>Involuntary</v>
      </c>
      <c r="N577" s="23" t="s">
        <v>26</v>
      </c>
    </row>
    <row r="578" spans="1:14" x14ac:dyDescent="0.25">
      <c r="A578" s="22">
        <v>3772</v>
      </c>
      <c r="B578" s="3">
        <v>35653</v>
      </c>
      <c r="C578" s="3">
        <v>43863</v>
      </c>
      <c r="D578" s="2">
        <f t="shared" si="17"/>
        <v>23</v>
      </c>
      <c r="E578" s="4" t="str" cm="1">
        <f t="array" ref="E578">_xlfn.IFS(
D578&lt;=5,"Newcomer",
D578&lt;=10,"Proficient",
D578&gt;10,"Expert"
)</f>
        <v>Expert</v>
      </c>
      <c r="F578" s="2" t="s">
        <v>41</v>
      </c>
      <c r="G578" s="5" t="s">
        <v>42</v>
      </c>
      <c r="H578" s="5" t="s">
        <v>105</v>
      </c>
      <c r="I578" s="2">
        <v>15</v>
      </c>
      <c r="J578" s="2" t="s">
        <v>24</v>
      </c>
      <c r="K578" s="2" t="s">
        <v>25</v>
      </c>
      <c r="L578" s="2" t="s">
        <v>96</v>
      </c>
      <c r="M578" s="4" t="str">
        <f t="shared" ref="M578:M641" si="18">IF(OR(L578="Retirement",L578="Resignation"),"Voluntary","Involuntary")</f>
        <v>Involuntary</v>
      </c>
      <c r="N578" s="23" t="s">
        <v>26</v>
      </c>
    </row>
    <row r="579" spans="1:14" x14ac:dyDescent="0.25">
      <c r="A579" s="22">
        <v>3778</v>
      </c>
      <c r="B579" s="3">
        <v>34224</v>
      </c>
      <c r="C579" s="3">
        <v>43978</v>
      </c>
      <c r="D579" s="2">
        <f t="shared" ref="D579:D642" si="19">YEAR(C579)-YEAR(B579)</f>
        <v>27</v>
      </c>
      <c r="E579" s="4" t="str" cm="1">
        <f t="array" ref="E579">_xlfn.IFS(
D579&lt;=5,"Newcomer",
D579&lt;=10,"Proficient",
D579&gt;10,"Expert"
)</f>
        <v>Expert</v>
      </c>
      <c r="F579" s="2" t="s">
        <v>30</v>
      </c>
      <c r="G579" s="5" t="s">
        <v>42</v>
      </c>
      <c r="H579" s="5" t="s">
        <v>105</v>
      </c>
      <c r="I579" s="2">
        <v>37</v>
      </c>
      <c r="J579" s="2" t="s">
        <v>24</v>
      </c>
      <c r="K579" s="2" t="s">
        <v>25</v>
      </c>
      <c r="L579" s="2" t="s">
        <v>96</v>
      </c>
      <c r="M579" s="4" t="str">
        <f t="shared" si="18"/>
        <v>Involuntary</v>
      </c>
      <c r="N579" s="23" t="s">
        <v>26</v>
      </c>
    </row>
    <row r="580" spans="1:14" x14ac:dyDescent="0.25">
      <c r="A580" s="22">
        <v>3787</v>
      </c>
      <c r="B580" s="3">
        <v>40792</v>
      </c>
      <c r="C580" s="3">
        <v>44055</v>
      </c>
      <c r="D580" s="2">
        <f t="shared" si="19"/>
        <v>9</v>
      </c>
      <c r="E580" s="4" t="str" cm="1">
        <f t="array" ref="E580">_xlfn.IFS(
D580&lt;=5,"Newcomer",
D580&lt;=10,"Proficient",
D580&gt;10,"Expert"
)</f>
        <v>Proficient</v>
      </c>
      <c r="F580" s="2" t="s">
        <v>106</v>
      </c>
      <c r="G580" s="5" t="s">
        <v>35</v>
      </c>
      <c r="H580" s="5" t="s">
        <v>76</v>
      </c>
      <c r="I580" s="2">
        <v>20</v>
      </c>
      <c r="J580" s="2" t="s">
        <v>24</v>
      </c>
      <c r="K580" s="2" t="s">
        <v>25</v>
      </c>
      <c r="L580" s="2" t="s">
        <v>96</v>
      </c>
      <c r="M580" s="4" t="str">
        <f t="shared" si="18"/>
        <v>Involuntary</v>
      </c>
      <c r="N580" s="23" t="s">
        <v>26</v>
      </c>
    </row>
    <row r="581" spans="1:14" x14ac:dyDescent="0.25">
      <c r="A581" s="22">
        <v>3789</v>
      </c>
      <c r="B581" s="3">
        <v>34221</v>
      </c>
      <c r="C581" s="3">
        <v>43886</v>
      </c>
      <c r="D581" s="2">
        <f t="shared" si="19"/>
        <v>27</v>
      </c>
      <c r="E581" s="4" t="str" cm="1">
        <f t="array" ref="E581">_xlfn.IFS(
D581&lt;=5,"Newcomer",
D581&lt;=10,"Proficient",
D581&gt;10,"Expert"
)</f>
        <v>Expert</v>
      </c>
      <c r="F581" s="2" t="s">
        <v>14</v>
      </c>
      <c r="G581" s="5" t="s">
        <v>35</v>
      </c>
      <c r="H581" s="5" t="s">
        <v>76</v>
      </c>
      <c r="I581" s="2">
        <v>35</v>
      </c>
      <c r="J581" s="2" t="s">
        <v>24</v>
      </c>
      <c r="K581" s="2" t="s">
        <v>25</v>
      </c>
      <c r="L581" s="2" t="s">
        <v>96</v>
      </c>
      <c r="M581" s="4" t="str">
        <f t="shared" si="18"/>
        <v>Involuntary</v>
      </c>
      <c r="N581" s="23" t="s">
        <v>26</v>
      </c>
    </row>
    <row r="582" spans="1:14" x14ac:dyDescent="0.25">
      <c r="A582" s="22">
        <v>3796</v>
      </c>
      <c r="B582" s="3">
        <v>40481</v>
      </c>
      <c r="C582" s="3">
        <v>43890</v>
      </c>
      <c r="D582" s="2">
        <f t="shared" si="19"/>
        <v>10</v>
      </c>
      <c r="E582" s="4" t="str" cm="1">
        <f t="array" ref="E582">_xlfn.IFS(
D582&lt;=5,"Newcomer",
D582&lt;=10,"Proficient",
D582&gt;10,"Expert"
)</f>
        <v>Proficient</v>
      </c>
      <c r="F582" s="2" t="s">
        <v>78</v>
      </c>
      <c r="G582" s="5" t="s">
        <v>42</v>
      </c>
      <c r="H582" s="5" t="s">
        <v>105</v>
      </c>
      <c r="I582" s="2">
        <v>21</v>
      </c>
      <c r="J582" s="2" t="s">
        <v>24</v>
      </c>
      <c r="K582" s="2" t="s">
        <v>25</v>
      </c>
      <c r="L582" s="2" t="s">
        <v>96</v>
      </c>
      <c r="M582" s="4" t="str">
        <f t="shared" si="18"/>
        <v>Involuntary</v>
      </c>
      <c r="N582" s="23" t="s">
        <v>26</v>
      </c>
    </row>
    <row r="583" spans="1:14" x14ac:dyDescent="0.25">
      <c r="A583" s="22">
        <v>3804</v>
      </c>
      <c r="B583" s="3">
        <v>40695</v>
      </c>
      <c r="C583" s="3">
        <v>44071</v>
      </c>
      <c r="D583" s="2">
        <f t="shared" si="19"/>
        <v>9</v>
      </c>
      <c r="E583" s="4" t="str" cm="1">
        <f t="array" ref="E583">_xlfn.IFS(
D583&lt;=5,"Newcomer",
D583&lt;=10,"Proficient",
D583&gt;10,"Expert"
)</f>
        <v>Proficient</v>
      </c>
      <c r="F583" s="2" t="s">
        <v>14</v>
      </c>
      <c r="G583" s="5" t="s">
        <v>35</v>
      </c>
      <c r="H583" s="5" t="s">
        <v>76</v>
      </c>
      <c r="I583" s="2">
        <v>35</v>
      </c>
      <c r="J583" s="2" t="s">
        <v>24</v>
      </c>
      <c r="K583" s="2" t="s">
        <v>25</v>
      </c>
      <c r="L583" s="2" t="s">
        <v>96</v>
      </c>
      <c r="M583" s="4" t="str">
        <f t="shared" si="18"/>
        <v>Involuntary</v>
      </c>
      <c r="N583" s="23" t="s">
        <v>26</v>
      </c>
    </row>
    <row r="584" spans="1:14" x14ac:dyDescent="0.25">
      <c r="A584" s="22">
        <v>3814</v>
      </c>
      <c r="B584" s="3">
        <v>36139</v>
      </c>
      <c r="C584" s="3">
        <v>43945</v>
      </c>
      <c r="D584" s="2">
        <f t="shared" si="19"/>
        <v>22</v>
      </c>
      <c r="E584" s="4" t="str" cm="1">
        <f t="array" ref="E584">_xlfn.IFS(
D584&lt;=5,"Newcomer",
D584&lt;=10,"Proficient",
D584&gt;10,"Expert"
)</f>
        <v>Expert</v>
      </c>
      <c r="F584" s="2" t="s">
        <v>30</v>
      </c>
      <c r="G584" s="5" t="s">
        <v>42</v>
      </c>
      <c r="H584" s="5" t="s">
        <v>105</v>
      </c>
      <c r="I584" s="2">
        <v>37</v>
      </c>
      <c r="J584" s="2" t="s">
        <v>24</v>
      </c>
      <c r="K584" s="2" t="s">
        <v>25</v>
      </c>
      <c r="L584" s="2" t="s">
        <v>96</v>
      </c>
      <c r="M584" s="4" t="str">
        <f t="shared" si="18"/>
        <v>Involuntary</v>
      </c>
      <c r="N584" s="23" t="s">
        <v>26</v>
      </c>
    </row>
    <row r="585" spans="1:14" x14ac:dyDescent="0.25">
      <c r="A585" s="22">
        <v>3815</v>
      </c>
      <c r="B585" s="3">
        <v>41838</v>
      </c>
      <c r="C585" s="3">
        <v>44066</v>
      </c>
      <c r="D585" s="2">
        <f t="shared" si="19"/>
        <v>6</v>
      </c>
      <c r="E585" s="4" t="str" cm="1">
        <f t="array" ref="E585">_xlfn.IFS(
D585&lt;=5,"Newcomer",
D585&lt;=10,"Proficient",
D585&gt;10,"Expert"
)</f>
        <v>Proficient</v>
      </c>
      <c r="F585" s="2" t="s">
        <v>115</v>
      </c>
      <c r="G585" s="5" t="s">
        <v>35</v>
      </c>
      <c r="H585" s="5" t="s">
        <v>76</v>
      </c>
      <c r="I585" s="2">
        <v>17</v>
      </c>
      <c r="J585" s="2" t="s">
        <v>24</v>
      </c>
      <c r="K585" s="2" t="s">
        <v>25</v>
      </c>
      <c r="L585" s="2" t="s">
        <v>96</v>
      </c>
      <c r="M585" s="4" t="str">
        <f t="shared" si="18"/>
        <v>Involuntary</v>
      </c>
      <c r="N585" s="23" t="s">
        <v>26</v>
      </c>
    </row>
    <row r="586" spans="1:14" x14ac:dyDescent="0.25">
      <c r="A586" s="22">
        <v>3817</v>
      </c>
      <c r="B586" s="3">
        <v>34176</v>
      </c>
      <c r="C586" s="3">
        <v>43938</v>
      </c>
      <c r="D586" s="2">
        <f t="shared" si="19"/>
        <v>27</v>
      </c>
      <c r="E586" s="4" t="str" cm="1">
        <f t="array" ref="E586">_xlfn.IFS(
D586&lt;=5,"Newcomer",
D586&lt;=10,"Proficient",
D586&gt;10,"Expert"
)</f>
        <v>Expert</v>
      </c>
      <c r="F586" s="2" t="s">
        <v>80</v>
      </c>
      <c r="G586" s="5" t="s">
        <v>47</v>
      </c>
      <c r="H586" s="5" t="s">
        <v>95</v>
      </c>
      <c r="I586" s="2">
        <v>7</v>
      </c>
      <c r="J586" s="2" t="s">
        <v>24</v>
      </c>
      <c r="K586" s="2" t="s">
        <v>25</v>
      </c>
      <c r="L586" s="2" t="s">
        <v>96</v>
      </c>
      <c r="M586" s="4" t="str">
        <f t="shared" si="18"/>
        <v>Involuntary</v>
      </c>
      <c r="N586" s="23" t="s">
        <v>26</v>
      </c>
    </row>
    <row r="587" spans="1:14" x14ac:dyDescent="0.25">
      <c r="A587" s="22">
        <v>3824</v>
      </c>
      <c r="B587" s="3">
        <v>40403</v>
      </c>
      <c r="C587" s="3">
        <v>43953</v>
      </c>
      <c r="D587" s="2">
        <f t="shared" si="19"/>
        <v>10</v>
      </c>
      <c r="E587" s="4" t="str" cm="1">
        <f t="array" ref="E587">_xlfn.IFS(
D587&lt;=5,"Newcomer",
D587&lt;=10,"Proficient",
D587&gt;10,"Expert"
)</f>
        <v>Proficient</v>
      </c>
      <c r="F587" s="2" t="s">
        <v>14</v>
      </c>
      <c r="G587" s="5" t="s">
        <v>42</v>
      </c>
      <c r="H587" s="5" t="s">
        <v>105</v>
      </c>
      <c r="I587" s="2">
        <v>42</v>
      </c>
      <c r="J587" s="2" t="s">
        <v>17</v>
      </c>
      <c r="K587" s="2" t="s">
        <v>18</v>
      </c>
      <c r="L587" s="2" t="s">
        <v>50</v>
      </c>
      <c r="M587" s="4" t="str">
        <f t="shared" si="18"/>
        <v>Voluntary</v>
      </c>
      <c r="N587" s="23" t="s">
        <v>26</v>
      </c>
    </row>
    <row r="588" spans="1:14" x14ac:dyDescent="0.25">
      <c r="A588" s="22">
        <v>3830</v>
      </c>
      <c r="B588" s="3">
        <v>39281</v>
      </c>
      <c r="C588" s="3">
        <v>44035</v>
      </c>
      <c r="D588" s="2">
        <f t="shared" si="19"/>
        <v>13</v>
      </c>
      <c r="E588" s="4" t="str" cm="1">
        <f t="array" ref="E588">_xlfn.IFS(
D588&lt;=5,"Newcomer",
D588&lt;=10,"Proficient",
D588&gt;10,"Expert"
)</f>
        <v>Expert</v>
      </c>
      <c r="F588" s="2" t="s">
        <v>30</v>
      </c>
      <c r="G588" s="5" t="s">
        <v>42</v>
      </c>
      <c r="H588" s="5" t="s">
        <v>105</v>
      </c>
      <c r="I588" s="2">
        <v>37</v>
      </c>
      <c r="J588" s="2" t="s">
        <v>24</v>
      </c>
      <c r="K588" s="2" t="s">
        <v>25</v>
      </c>
      <c r="L588" s="2" t="s">
        <v>96</v>
      </c>
      <c r="M588" s="4" t="str">
        <f t="shared" si="18"/>
        <v>Involuntary</v>
      </c>
      <c r="N588" s="23" t="s">
        <v>26</v>
      </c>
    </row>
    <row r="589" spans="1:14" x14ac:dyDescent="0.25">
      <c r="A589" s="22">
        <v>3832</v>
      </c>
      <c r="B589" s="3">
        <v>40638</v>
      </c>
      <c r="C589" s="3">
        <v>44082</v>
      </c>
      <c r="D589" s="2">
        <f t="shared" si="19"/>
        <v>9</v>
      </c>
      <c r="E589" s="4" t="str" cm="1">
        <f t="array" ref="E589">_xlfn.IFS(
D589&lt;=5,"Newcomer",
D589&lt;=10,"Proficient",
D589&gt;10,"Expert"
)</f>
        <v>Proficient</v>
      </c>
      <c r="F589" s="2" t="s">
        <v>44</v>
      </c>
      <c r="G589" s="5" t="s">
        <v>42</v>
      </c>
      <c r="H589" s="5" t="s">
        <v>105</v>
      </c>
      <c r="I589" s="2">
        <v>18</v>
      </c>
      <c r="J589" s="2" t="s">
        <v>24</v>
      </c>
      <c r="K589" s="2" t="s">
        <v>25</v>
      </c>
      <c r="L589" s="2" t="s">
        <v>96</v>
      </c>
      <c r="M589" s="4" t="str">
        <f t="shared" si="18"/>
        <v>Involuntary</v>
      </c>
      <c r="N589" s="23" t="s">
        <v>26</v>
      </c>
    </row>
    <row r="590" spans="1:14" x14ac:dyDescent="0.25">
      <c r="A590" s="22">
        <v>3840</v>
      </c>
      <c r="B590" s="3">
        <v>39947</v>
      </c>
      <c r="C590" s="3">
        <v>44016</v>
      </c>
      <c r="D590" s="2">
        <f t="shared" si="19"/>
        <v>11</v>
      </c>
      <c r="E590" s="4" t="str" cm="1">
        <f t="array" ref="E590">_xlfn.IFS(
D590&lt;=5,"Newcomer",
D590&lt;=10,"Proficient",
D590&gt;10,"Expert"
)</f>
        <v>Expert</v>
      </c>
      <c r="F590" s="2" t="s">
        <v>70</v>
      </c>
      <c r="G590" s="5" t="s">
        <v>42</v>
      </c>
      <c r="H590" s="5" t="s">
        <v>105</v>
      </c>
      <c r="I590" s="2">
        <v>6</v>
      </c>
      <c r="J590" s="2" t="s">
        <v>17</v>
      </c>
      <c r="K590" s="2" t="s">
        <v>18</v>
      </c>
      <c r="L590" s="2" t="s">
        <v>50</v>
      </c>
      <c r="M590" s="4" t="str">
        <f t="shared" si="18"/>
        <v>Voluntary</v>
      </c>
      <c r="N590" s="23" t="s">
        <v>26</v>
      </c>
    </row>
    <row r="591" spans="1:14" x14ac:dyDescent="0.25">
      <c r="A591" s="22">
        <v>3845</v>
      </c>
      <c r="B591" s="3">
        <v>39109</v>
      </c>
      <c r="C591" s="3">
        <v>44109</v>
      </c>
      <c r="D591" s="2">
        <f t="shared" si="19"/>
        <v>13</v>
      </c>
      <c r="E591" s="4" t="str" cm="1">
        <f t="array" ref="E591">_xlfn.IFS(
D591&lt;=5,"Newcomer",
D591&lt;=10,"Proficient",
D591&gt;10,"Expert"
)</f>
        <v>Expert</v>
      </c>
      <c r="F591" s="2" t="s">
        <v>41</v>
      </c>
      <c r="G591" s="5" t="s">
        <v>42</v>
      </c>
      <c r="H591" s="5" t="s">
        <v>105</v>
      </c>
      <c r="I591" s="2">
        <v>15</v>
      </c>
      <c r="J591" s="2" t="s">
        <v>24</v>
      </c>
      <c r="K591" s="2" t="s">
        <v>25</v>
      </c>
      <c r="L591" s="2" t="s">
        <v>96</v>
      </c>
      <c r="M591" s="4" t="str">
        <f t="shared" si="18"/>
        <v>Involuntary</v>
      </c>
      <c r="N591" s="23" t="s">
        <v>26</v>
      </c>
    </row>
    <row r="592" spans="1:14" x14ac:dyDescent="0.25">
      <c r="A592" s="22">
        <v>3850</v>
      </c>
      <c r="B592" s="3">
        <v>36701</v>
      </c>
      <c r="C592" s="3">
        <v>44038</v>
      </c>
      <c r="D592" s="2">
        <f t="shared" si="19"/>
        <v>20</v>
      </c>
      <c r="E592" s="4" t="str" cm="1">
        <f t="array" ref="E592">_xlfn.IFS(
D592&lt;=5,"Newcomer",
D592&lt;=10,"Proficient",
D592&gt;10,"Expert"
)</f>
        <v>Expert</v>
      </c>
      <c r="F592" s="2" t="s">
        <v>107</v>
      </c>
      <c r="G592" s="5" t="s">
        <v>71</v>
      </c>
      <c r="H592" s="5" t="s">
        <v>72</v>
      </c>
      <c r="I592" s="2">
        <v>11</v>
      </c>
      <c r="J592" s="2" t="s">
        <v>17</v>
      </c>
      <c r="K592" s="2" t="s">
        <v>18</v>
      </c>
      <c r="L592" s="2" t="s">
        <v>96</v>
      </c>
      <c r="M592" s="4" t="str">
        <f t="shared" si="18"/>
        <v>Involuntary</v>
      </c>
      <c r="N592" s="23" t="s">
        <v>26</v>
      </c>
    </row>
    <row r="593" spans="1:14" x14ac:dyDescent="0.25">
      <c r="A593" s="22">
        <v>3851</v>
      </c>
      <c r="B593" s="3">
        <v>38608</v>
      </c>
      <c r="C593" s="3">
        <v>43954</v>
      </c>
      <c r="D593" s="2">
        <f t="shared" si="19"/>
        <v>15</v>
      </c>
      <c r="E593" s="4" t="str" cm="1">
        <f t="array" ref="E593">_xlfn.IFS(
D593&lt;=5,"Newcomer",
D593&lt;=10,"Proficient",
D593&gt;10,"Expert"
)</f>
        <v>Expert</v>
      </c>
      <c r="F593" s="2" t="s">
        <v>14</v>
      </c>
      <c r="G593" s="5" t="s">
        <v>35</v>
      </c>
      <c r="H593" s="5" t="s">
        <v>76</v>
      </c>
      <c r="I593" s="2">
        <v>35</v>
      </c>
      <c r="J593" s="2" t="s">
        <v>24</v>
      </c>
      <c r="K593" s="2" t="s">
        <v>25</v>
      </c>
      <c r="L593" s="2" t="s">
        <v>96</v>
      </c>
      <c r="M593" s="4" t="str">
        <f t="shared" si="18"/>
        <v>Involuntary</v>
      </c>
      <c r="N593" s="23" t="s">
        <v>26</v>
      </c>
    </row>
    <row r="594" spans="1:14" x14ac:dyDescent="0.25">
      <c r="A594" s="22">
        <v>3866</v>
      </c>
      <c r="B594" s="3">
        <v>35015</v>
      </c>
      <c r="C594" s="3">
        <v>44113</v>
      </c>
      <c r="D594" s="2">
        <f t="shared" si="19"/>
        <v>25</v>
      </c>
      <c r="E594" s="4" t="str" cm="1">
        <f t="array" ref="E594">_xlfn.IFS(
D594&lt;=5,"Newcomer",
D594&lt;=10,"Proficient",
D594&gt;10,"Expert"
)</f>
        <v>Expert</v>
      </c>
      <c r="F594" s="2" t="s">
        <v>111</v>
      </c>
      <c r="G594" s="5" t="s">
        <v>47</v>
      </c>
      <c r="H594" s="5" t="s">
        <v>95</v>
      </c>
      <c r="I594" s="2">
        <v>23</v>
      </c>
      <c r="J594" s="2" t="s">
        <v>24</v>
      </c>
      <c r="K594" s="2" t="s">
        <v>25</v>
      </c>
      <c r="L594" s="2" t="s">
        <v>96</v>
      </c>
      <c r="M594" s="4" t="str">
        <f t="shared" si="18"/>
        <v>Involuntary</v>
      </c>
      <c r="N594" s="23" t="s">
        <v>26</v>
      </c>
    </row>
    <row r="595" spans="1:14" x14ac:dyDescent="0.25">
      <c r="A595" s="22">
        <v>3871</v>
      </c>
      <c r="B595" s="3">
        <v>38756</v>
      </c>
      <c r="C595" s="3">
        <v>44017</v>
      </c>
      <c r="D595" s="2">
        <f t="shared" si="19"/>
        <v>14</v>
      </c>
      <c r="E595" s="4" t="str" cm="1">
        <f t="array" ref="E595">_xlfn.IFS(
D595&lt;=5,"Newcomer",
D595&lt;=10,"Proficient",
D595&gt;10,"Expert"
)</f>
        <v>Expert</v>
      </c>
      <c r="F595" s="2" t="s">
        <v>107</v>
      </c>
      <c r="G595" s="5" t="s">
        <v>35</v>
      </c>
      <c r="H595" s="5" t="s">
        <v>76</v>
      </c>
      <c r="I595" s="2">
        <v>11</v>
      </c>
      <c r="J595" s="2" t="s">
        <v>24</v>
      </c>
      <c r="K595" s="2" t="s">
        <v>25</v>
      </c>
      <c r="L595" s="2" t="s">
        <v>96</v>
      </c>
      <c r="M595" s="4" t="str">
        <f t="shared" si="18"/>
        <v>Involuntary</v>
      </c>
      <c r="N595" s="23" t="s">
        <v>26</v>
      </c>
    </row>
    <row r="596" spans="1:14" x14ac:dyDescent="0.25">
      <c r="A596" s="22">
        <v>3875</v>
      </c>
      <c r="B596" s="3">
        <v>33220</v>
      </c>
      <c r="C596" s="3">
        <v>44106</v>
      </c>
      <c r="D596" s="2">
        <f t="shared" si="19"/>
        <v>30</v>
      </c>
      <c r="E596" s="4" t="str" cm="1">
        <f t="array" ref="E596">_xlfn.IFS(
D596&lt;=5,"Newcomer",
D596&lt;=10,"Proficient",
D596&gt;10,"Expert"
)</f>
        <v>Expert</v>
      </c>
      <c r="F596" s="2" t="s">
        <v>115</v>
      </c>
      <c r="G596" s="5" t="s">
        <v>42</v>
      </c>
      <c r="H596" s="5" t="s">
        <v>105</v>
      </c>
      <c r="I596" s="2">
        <v>17</v>
      </c>
      <c r="J596" s="2" t="s">
        <v>24</v>
      </c>
      <c r="K596" s="2" t="s">
        <v>25</v>
      </c>
      <c r="L596" s="2" t="s">
        <v>50</v>
      </c>
      <c r="M596" s="4" t="str">
        <f t="shared" si="18"/>
        <v>Voluntary</v>
      </c>
      <c r="N596" s="23" t="s">
        <v>26</v>
      </c>
    </row>
    <row r="597" spans="1:14" x14ac:dyDescent="0.25">
      <c r="A597" s="22">
        <v>3885</v>
      </c>
      <c r="B597" s="3">
        <v>41228</v>
      </c>
      <c r="C597" s="3">
        <v>43844</v>
      </c>
      <c r="D597" s="2">
        <f t="shared" si="19"/>
        <v>8</v>
      </c>
      <c r="E597" s="4" t="str" cm="1">
        <f t="array" ref="E597">_xlfn.IFS(
D597&lt;=5,"Newcomer",
D597&lt;=10,"Proficient",
D597&gt;10,"Expert"
)</f>
        <v>Proficient</v>
      </c>
      <c r="F597" s="2" t="s">
        <v>30</v>
      </c>
      <c r="G597" s="5" t="s">
        <v>42</v>
      </c>
      <c r="H597" s="5" t="s">
        <v>105</v>
      </c>
      <c r="I597" s="2">
        <v>37</v>
      </c>
      <c r="J597" s="2" t="s">
        <v>24</v>
      </c>
      <c r="K597" s="2" t="s">
        <v>25</v>
      </c>
      <c r="L597" s="2" t="s">
        <v>96</v>
      </c>
      <c r="M597" s="4" t="str">
        <f t="shared" si="18"/>
        <v>Involuntary</v>
      </c>
      <c r="N597" s="23" t="s">
        <v>26</v>
      </c>
    </row>
    <row r="598" spans="1:14" x14ac:dyDescent="0.25">
      <c r="A598" s="22">
        <v>3892</v>
      </c>
      <c r="B598" s="3">
        <v>39113</v>
      </c>
      <c r="C598" s="3">
        <v>44041</v>
      </c>
      <c r="D598" s="2">
        <f t="shared" si="19"/>
        <v>13</v>
      </c>
      <c r="E598" s="4" t="str" cm="1">
        <f t="array" ref="E598">_xlfn.IFS(
D598&lt;=5,"Newcomer",
D598&lt;=10,"Proficient",
D598&gt;10,"Expert"
)</f>
        <v>Expert</v>
      </c>
      <c r="F598" s="2" t="s">
        <v>90</v>
      </c>
      <c r="G598" s="5" t="s">
        <v>42</v>
      </c>
      <c r="H598" s="5" t="s">
        <v>105</v>
      </c>
      <c r="I598" s="2">
        <v>26</v>
      </c>
      <c r="J598" s="2" t="s">
        <v>24</v>
      </c>
      <c r="K598" s="2" t="s">
        <v>25</v>
      </c>
      <c r="L598" s="2" t="s">
        <v>96</v>
      </c>
      <c r="M598" s="4" t="str">
        <f t="shared" si="18"/>
        <v>Involuntary</v>
      </c>
      <c r="N598" s="23" t="s">
        <v>26</v>
      </c>
    </row>
    <row r="599" spans="1:14" x14ac:dyDescent="0.25">
      <c r="A599" s="22">
        <v>3893</v>
      </c>
      <c r="B599" s="3">
        <v>42128</v>
      </c>
      <c r="C599" s="3">
        <v>43974</v>
      </c>
      <c r="D599" s="2">
        <f t="shared" si="19"/>
        <v>5</v>
      </c>
      <c r="E599" s="4" t="str" cm="1">
        <f t="array" ref="E599">_xlfn.IFS(
D599&lt;=5,"Newcomer",
D599&lt;=10,"Proficient",
D599&gt;10,"Expert"
)</f>
        <v>Newcomer</v>
      </c>
      <c r="F599" s="2" t="s">
        <v>90</v>
      </c>
      <c r="G599" s="5" t="s">
        <v>42</v>
      </c>
      <c r="H599" s="5" t="s">
        <v>105</v>
      </c>
      <c r="I599" s="2">
        <v>26</v>
      </c>
      <c r="J599" s="2" t="s">
        <v>24</v>
      </c>
      <c r="K599" s="2" t="s">
        <v>25</v>
      </c>
      <c r="L599" s="2" t="s">
        <v>96</v>
      </c>
      <c r="M599" s="4" t="str">
        <f t="shared" si="18"/>
        <v>Involuntary</v>
      </c>
      <c r="N599" s="23" t="s">
        <v>26</v>
      </c>
    </row>
    <row r="600" spans="1:14" x14ac:dyDescent="0.25">
      <c r="A600" s="22">
        <v>3900</v>
      </c>
      <c r="B600" s="3">
        <v>40355</v>
      </c>
      <c r="C600" s="3">
        <v>44192</v>
      </c>
      <c r="D600" s="2">
        <f t="shared" si="19"/>
        <v>10</v>
      </c>
      <c r="E600" s="4" t="str" cm="1">
        <f t="array" ref="E600">_xlfn.IFS(
D600&lt;=5,"Newcomer",
D600&lt;=10,"Proficient",
D600&gt;10,"Expert"
)</f>
        <v>Proficient</v>
      </c>
      <c r="F600" s="2" t="s">
        <v>41</v>
      </c>
      <c r="G600" s="5" t="s">
        <v>47</v>
      </c>
      <c r="H600" s="5" t="s">
        <v>95</v>
      </c>
      <c r="I600" s="2">
        <v>15</v>
      </c>
      <c r="J600" s="2" t="s">
        <v>24</v>
      </c>
      <c r="K600" s="2" t="s">
        <v>25</v>
      </c>
      <c r="L600" s="2" t="s">
        <v>96</v>
      </c>
      <c r="M600" s="4" t="str">
        <f t="shared" si="18"/>
        <v>Involuntary</v>
      </c>
      <c r="N600" s="23" t="s">
        <v>26</v>
      </c>
    </row>
    <row r="601" spans="1:14" x14ac:dyDescent="0.25">
      <c r="A601" s="22">
        <v>3905</v>
      </c>
      <c r="B601" s="3">
        <v>40119</v>
      </c>
      <c r="C601" s="3">
        <v>44087</v>
      </c>
      <c r="D601" s="2">
        <f t="shared" si="19"/>
        <v>11</v>
      </c>
      <c r="E601" s="4" t="str" cm="1">
        <f t="array" ref="E601">_xlfn.IFS(
D601&lt;=5,"Newcomer",
D601&lt;=10,"Proficient",
D601&gt;10,"Expert"
)</f>
        <v>Expert</v>
      </c>
      <c r="F601" s="2" t="s">
        <v>41</v>
      </c>
      <c r="G601" s="5" t="s">
        <v>42</v>
      </c>
      <c r="H601" s="5" t="s">
        <v>105</v>
      </c>
      <c r="I601" s="2">
        <v>15</v>
      </c>
      <c r="J601" s="2" t="s">
        <v>17</v>
      </c>
      <c r="K601" s="2" t="s">
        <v>18</v>
      </c>
      <c r="L601" s="2" t="s">
        <v>50</v>
      </c>
      <c r="M601" s="4" t="str">
        <f t="shared" si="18"/>
        <v>Voluntary</v>
      </c>
      <c r="N601" s="23" t="s">
        <v>26</v>
      </c>
    </row>
    <row r="602" spans="1:14" x14ac:dyDescent="0.25">
      <c r="A602" s="22">
        <v>3917</v>
      </c>
      <c r="B602" s="3">
        <v>38393</v>
      </c>
      <c r="C602" s="3">
        <v>43833</v>
      </c>
      <c r="D602" s="2">
        <f t="shared" si="19"/>
        <v>15</v>
      </c>
      <c r="E602" s="4" t="str" cm="1">
        <f t="array" ref="E602">_xlfn.IFS(
D602&lt;=5,"Newcomer",
D602&lt;=10,"Proficient",
D602&gt;10,"Expert"
)</f>
        <v>Expert</v>
      </c>
      <c r="F602" s="2" t="s">
        <v>89</v>
      </c>
      <c r="G602" s="5" t="s">
        <v>42</v>
      </c>
      <c r="H602" s="5" t="s">
        <v>105</v>
      </c>
      <c r="I602" s="2">
        <v>33</v>
      </c>
      <c r="J602" s="2" t="s">
        <v>24</v>
      </c>
      <c r="K602" s="2" t="s">
        <v>25</v>
      </c>
      <c r="L602" s="2" t="s">
        <v>96</v>
      </c>
      <c r="M602" s="4" t="str">
        <f t="shared" si="18"/>
        <v>Involuntary</v>
      </c>
      <c r="N602" s="23" t="s">
        <v>26</v>
      </c>
    </row>
    <row r="603" spans="1:14" x14ac:dyDescent="0.25">
      <c r="A603" s="22">
        <v>3922</v>
      </c>
      <c r="B603" s="3">
        <v>33930</v>
      </c>
      <c r="C603" s="3">
        <v>44038</v>
      </c>
      <c r="D603" s="2">
        <f t="shared" si="19"/>
        <v>28</v>
      </c>
      <c r="E603" s="4" t="str" cm="1">
        <f t="array" ref="E603">_xlfn.IFS(
D603&lt;=5,"Newcomer",
D603&lt;=10,"Proficient",
D603&gt;10,"Expert"
)</f>
        <v>Expert</v>
      </c>
      <c r="F603" s="2" t="s">
        <v>14</v>
      </c>
      <c r="G603" s="5" t="s">
        <v>35</v>
      </c>
      <c r="H603" s="5" t="s">
        <v>76</v>
      </c>
      <c r="I603" s="2">
        <v>35</v>
      </c>
      <c r="J603" s="2" t="s">
        <v>24</v>
      </c>
      <c r="K603" s="2" t="s">
        <v>25</v>
      </c>
      <c r="L603" s="2" t="s">
        <v>96</v>
      </c>
      <c r="M603" s="4" t="str">
        <f t="shared" si="18"/>
        <v>Involuntary</v>
      </c>
      <c r="N603" s="23" t="s">
        <v>26</v>
      </c>
    </row>
    <row r="604" spans="1:14" x14ac:dyDescent="0.25">
      <c r="A604" s="22">
        <v>3924</v>
      </c>
      <c r="B604" s="3">
        <v>35406</v>
      </c>
      <c r="C604" s="3">
        <v>44053</v>
      </c>
      <c r="D604" s="2">
        <f t="shared" si="19"/>
        <v>24</v>
      </c>
      <c r="E604" s="4" t="str" cm="1">
        <f t="array" ref="E604">_xlfn.IFS(
D604&lt;=5,"Newcomer",
D604&lt;=10,"Proficient",
D604&gt;10,"Expert"
)</f>
        <v>Expert</v>
      </c>
      <c r="F604" s="2" t="s">
        <v>70</v>
      </c>
      <c r="G604" s="5" t="s">
        <v>42</v>
      </c>
      <c r="H604" s="5" t="s">
        <v>105</v>
      </c>
      <c r="I604" s="2">
        <v>6</v>
      </c>
      <c r="J604" s="2" t="s">
        <v>24</v>
      </c>
      <c r="K604" s="2" t="s">
        <v>25</v>
      </c>
      <c r="L604" s="2" t="s">
        <v>96</v>
      </c>
      <c r="M604" s="4" t="str">
        <f t="shared" si="18"/>
        <v>Involuntary</v>
      </c>
      <c r="N604" s="23" t="s">
        <v>26</v>
      </c>
    </row>
    <row r="605" spans="1:14" x14ac:dyDescent="0.25">
      <c r="A605" s="22">
        <v>3926</v>
      </c>
      <c r="B605" s="3">
        <v>36611</v>
      </c>
      <c r="C605" s="3">
        <v>44089</v>
      </c>
      <c r="D605" s="2">
        <f t="shared" si="19"/>
        <v>20</v>
      </c>
      <c r="E605" s="4" t="str" cm="1">
        <f t="array" ref="E605">_xlfn.IFS(
D605&lt;=5,"Newcomer",
D605&lt;=10,"Proficient",
D605&gt;10,"Expert"
)</f>
        <v>Expert</v>
      </c>
      <c r="F605" s="2" t="s">
        <v>78</v>
      </c>
      <c r="G605" s="5" t="s">
        <v>42</v>
      </c>
      <c r="H605" s="5" t="s">
        <v>105</v>
      </c>
      <c r="I605" s="2">
        <v>21</v>
      </c>
      <c r="J605" s="2" t="s">
        <v>24</v>
      </c>
      <c r="K605" s="2" t="s">
        <v>25</v>
      </c>
      <c r="L605" s="2" t="s">
        <v>96</v>
      </c>
      <c r="M605" s="4" t="str">
        <f t="shared" si="18"/>
        <v>Involuntary</v>
      </c>
      <c r="N605" s="23" t="s">
        <v>26</v>
      </c>
    </row>
    <row r="606" spans="1:14" x14ac:dyDescent="0.25">
      <c r="A606" s="22">
        <v>3932</v>
      </c>
      <c r="B606" s="3">
        <v>35696</v>
      </c>
      <c r="C606" s="3">
        <v>43975</v>
      </c>
      <c r="D606" s="2">
        <f t="shared" si="19"/>
        <v>23</v>
      </c>
      <c r="E606" s="4" t="str" cm="1">
        <f t="array" ref="E606">_xlfn.IFS(
D606&lt;=5,"Newcomer",
D606&lt;=10,"Proficient",
D606&gt;10,"Expert"
)</f>
        <v>Expert</v>
      </c>
      <c r="F606" s="2" t="s">
        <v>30</v>
      </c>
      <c r="G606" s="5" t="s">
        <v>42</v>
      </c>
      <c r="H606" s="5" t="s">
        <v>105</v>
      </c>
      <c r="I606" s="2">
        <v>37</v>
      </c>
      <c r="J606" s="2" t="s">
        <v>24</v>
      </c>
      <c r="K606" s="2" t="s">
        <v>25</v>
      </c>
      <c r="L606" s="2" t="s">
        <v>96</v>
      </c>
      <c r="M606" s="4" t="str">
        <f t="shared" si="18"/>
        <v>Involuntary</v>
      </c>
      <c r="N606" s="23" t="s">
        <v>26</v>
      </c>
    </row>
    <row r="607" spans="1:14" x14ac:dyDescent="0.25">
      <c r="A607" s="22">
        <v>3935</v>
      </c>
      <c r="B607" s="3">
        <v>35446</v>
      </c>
      <c r="C607" s="3">
        <v>43846</v>
      </c>
      <c r="D607" s="2">
        <f t="shared" si="19"/>
        <v>23</v>
      </c>
      <c r="E607" s="4" t="str" cm="1">
        <f t="array" ref="E607">_xlfn.IFS(
D607&lt;=5,"Newcomer",
D607&lt;=10,"Proficient",
D607&gt;10,"Expert"
)</f>
        <v>Expert</v>
      </c>
      <c r="F607" s="2" t="s">
        <v>14</v>
      </c>
      <c r="G607" s="5" t="s">
        <v>35</v>
      </c>
      <c r="H607" s="5" t="s">
        <v>76</v>
      </c>
      <c r="I607" s="2">
        <v>35</v>
      </c>
      <c r="J607" s="2" t="s">
        <v>24</v>
      </c>
      <c r="K607" s="2" t="s">
        <v>25</v>
      </c>
      <c r="L607" s="2" t="s">
        <v>96</v>
      </c>
      <c r="M607" s="4" t="str">
        <f t="shared" si="18"/>
        <v>Involuntary</v>
      </c>
      <c r="N607" s="23" t="s">
        <v>26</v>
      </c>
    </row>
    <row r="608" spans="1:14" x14ac:dyDescent="0.25">
      <c r="A608" s="22">
        <v>3937</v>
      </c>
      <c r="B608" s="3">
        <v>35499</v>
      </c>
      <c r="C608" s="3">
        <v>43944</v>
      </c>
      <c r="D608" s="2">
        <f t="shared" si="19"/>
        <v>23</v>
      </c>
      <c r="E608" s="4" t="str" cm="1">
        <f t="array" ref="E608">_xlfn.IFS(
D608&lt;=5,"Newcomer",
D608&lt;=10,"Proficient",
D608&gt;10,"Expert"
)</f>
        <v>Expert</v>
      </c>
      <c r="F608" s="2" t="s">
        <v>77</v>
      </c>
      <c r="G608" s="5" t="s">
        <v>42</v>
      </c>
      <c r="H608" s="5" t="s">
        <v>105</v>
      </c>
      <c r="I608" s="2">
        <v>30</v>
      </c>
      <c r="J608" s="2" t="s">
        <v>24</v>
      </c>
      <c r="K608" s="2" t="s">
        <v>25</v>
      </c>
      <c r="L608" s="2" t="s">
        <v>96</v>
      </c>
      <c r="M608" s="4" t="str">
        <f t="shared" si="18"/>
        <v>Involuntary</v>
      </c>
      <c r="N608" s="23" t="s">
        <v>26</v>
      </c>
    </row>
    <row r="609" spans="1:14" x14ac:dyDescent="0.25">
      <c r="A609" s="22">
        <v>3939</v>
      </c>
      <c r="B609" s="3">
        <v>36960</v>
      </c>
      <c r="C609" s="3">
        <v>43970</v>
      </c>
      <c r="D609" s="2">
        <f t="shared" si="19"/>
        <v>19</v>
      </c>
      <c r="E609" s="4" t="str" cm="1">
        <f t="array" ref="E609">_xlfn.IFS(
D609&lt;=5,"Newcomer",
D609&lt;=10,"Proficient",
D609&gt;10,"Expert"
)</f>
        <v>Expert</v>
      </c>
      <c r="F609" s="2" t="s">
        <v>115</v>
      </c>
      <c r="G609" s="5" t="s">
        <v>42</v>
      </c>
      <c r="H609" s="5" t="s">
        <v>105</v>
      </c>
      <c r="I609" s="2">
        <v>17</v>
      </c>
      <c r="J609" s="2" t="s">
        <v>24</v>
      </c>
      <c r="K609" s="2" t="s">
        <v>25</v>
      </c>
      <c r="L609" s="2" t="s">
        <v>96</v>
      </c>
      <c r="M609" s="4" t="str">
        <f t="shared" si="18"/>
        <v>Involuntary</v>
      </c>
      <c r="N609" s="23" t="s">
        <v>26</v>
      </c>
    </row>
    <row r="610" spans="1:14" x14ac:dyDescent="0.25">
      <c r="A610" s="22">
        <v>3940</v>
      </c>
      <c r="B610" s="3">
        <v>35072</v>
      </c>
      <c r="C610" s="3">
        <v>43914</v>
      </c>
      <c r="D610" s="2">
        <f t="shared" si="19"/>
        <v>24</v>
      </c>
      <c r="E610" s="4" t="str" cm="1">
        <f t="array" ref="E610">_xlfn.IFS(
D610&lt;=5,"Newcomer",
D610&lt;=10,"Proficient",
D610&gt;10,"Expert"
)</f>
        <v>Expert</v>
      </c>
      <c r="F610" s="2" t="s">
        <v>111</v>
      </c>
      <c r="G610" s="5" t="s">
        <v>62</v>
      </c>
      <c r="H610" s="5" t="s">
        <v>63</v>
      </c>
      <c r="I610" s="2">
        <v>23</v>
      </c>
      <c r="J610" s="2" t="s">
        <v>17</v>
      </c>
      <c r="K610" s="2" t="s">
        <v>18</v>
      </c>
      <c r="L610" s="2" t="s">
        <v>96</v>
      </c>
      <c r="M610" s="4" t="str">
        <f t="shared" si="18"/>
        <v>Involuntary</v>
      </c>
      <c r="N610" s="23" t="s">
        <v>26</v>
      </c>
    </row>
    <row r="611" spans="1:14" x14ac:dyDescent="0.25">
      <c r="A611" s="22">
        <v>3942</v>
      </c>
      <c r="B611" s="3">
        <v>36500</v>
      </c>
      <c r="C611" s="3">
        <v>43911</v>
      </c>
      <c r="D611" s="2">
        <f t="shared" si="19"/>
        <v>21</v>
      </c>
      <c r="E611" s="4" t="str" cm="1">
        <f t="array" ref="E611">_xlfn.IFS(
D611&lt;=5,"Newcomer",
D611&lt;=10,"Proficient",
D611&gt;10,"Expert"
)</f>
        <v>Expert</v>
      </c>
      <c r="F611" s="2" t="s">
        <v>53</v>
      </c>
      <c r="G611" s="5" t="s">
        <v>35</v>
      </c>
      <c r="H611" s="5" t="s">
        <v>76</v>
      </c>
      <c r="I611" s="2">
        <v>31</v>
      </c>
      <c r="J611" s="2" t="s">
        <v>24</v>
      </c>
      <c r="K611" s="2" t="s">
        <v>25</v>
      </c>
      <c r="L611" s="2" t="s">
        <v>96</v>
      </c>
      <c r="M611" s="4" t="str">
        <f t="shared" si="18"/>
        <v>Involuntary</v>
      </c>
      <c r="N611" s="23" t="s">
        <v>26</v>
      </c>
    </row>
    <row r="612" spans="1:14" x14ac:dyDescent="0.25">
      <c r="A612" s="22">
        <v>3960</v>
      </c>
      <c r="B612" s="3">
        <v>41981</v>
      </c>
      <c r="C612" s="3">
        <v>44140</v>
      </c>
      <c r="D612" s="2">
        <f t="shared" si="19"/>
        <v>6</v>
      </c>
      <c r="E612" s="4" t="str" cm="1">
        <f t="array" ref="E612">_xlfn.IFS(
D612&lt;=5,"Newcomer",
D612&lt;=10,"Proficient",
D612&gt;10,"Expert"
)</f>
        <v>Proficient</v>
      </c>
      <c r="F612" s="2" t="s">
        <v>81</v>
      </c>
      <c r="G612" s="5" t="s">
        <v>42</v>
      </c>
      <c r="H612" s="5" t="s">
        <v>105</v>
      </c>
      <c r="I612" s="2">
        <v>5</v>
      </c>
      <c r="J612" s="2" t="s">
        <v>24</v>
      </c>
      <c r="K612" s="2" t="s">
        <v>25</v>
      </c>
      <c r="L612" s="2" t="s">
        <v>96</v>
      </c>
      <c r="M612" s="4" t="str">
        <f t="shared" si="18"/>
        <v>Involuntary</v>
      </c>
      <c r="N612" s="23" t="s">
        <v>26</v>
      </c>
    </row>
    <row r="613" spans="1:14" x14ac:dyDescent="0.25">
      <c r="A613" s="22">
        <v>3964</v>
      </c>
      <c r="B613" s="3">
        <v>35095</v>
      </c>
      <c r="C613" s="3">
        <v>44110</v>
      </c>
      <c r="D613" s="2">
        <f t="shared" si="19"/>
        <v>24</v>
      </c>
      <c r="E613" s="4" t="str" cm="1">
        <f t="array" ref="E613">_xlfn.IFS(
D613&lt;=5,"Newcomer",
D613&lt;=10,"Proficient",
D613&gt;10,"Expert"
)</f>
        <v>Expert</v>
      </c>
      <c r="F613" s="2" t="s">
        <v>109</v>
      </c>
      <c r="G613" s="5" t="s">
        <v>42</v>
      </c>
      <c r="H613" s="5" t="s">
        <v>105</v>
      </c>
      <c r="I613" s="2">
        <v>22</v>
      </c>
      <c r="J613" s="2" t="s">
        <v>24</v>
      </c>
      <c r="K613" s="2" t="s">
        <v>25</v>
      </c>
      <c r="L613" s="2" t="s">
        <v>96</v>
      </c>
      <c r="M613" s="4" t="str">
        <f t="shared" si="18"/>
        <v>Involuntary</v>
      </c>
      <c r="N613" s="23" t="s">
        <v>26</v>
      </c>
    </row>
    <row r="614" spans="1:14" x14ac:dyDescent="0.25">
      <c r="A614" s="22">
        <v>3969</v>
      </c>
      <c r="B614" s="3">
        <v>35991</v>
      </c>
      <c r="C614" s="3">
        <v>44075</v>
      </c>
      <c r="D614" s="2">
        <f t="shared" si="19"/>
        <v>22</v>
      </c>
      <c r="E614" s="4" t="str" cm="1">
        <f t="array" ref="E614">_xlfn.IFS(
D614&lt;=5,"Newcomer",
D614&lt;=10,"Proficient",
D614&gt;10,"Expert"
)</f>
        <v>Expert</v>
      </c>
      <c r="F614" s="2" t="s">
        <v>106</v>
      </c>
      <c r="G614" s="5" t="s">
        <v>62</v>
      </c>
      <c r="H614" s="5" t="s">
        <v>63</v>
      </c>
      <c r="I614" s="2">
        <v>20</v>
      </c>
      <c r="J614" s="2" t="s">
        <v>17</v>
      </c>
      <c r="K614" s="2" t="s">
        <v>18</v>
      </c>
      <c r="L614" s="2" t="s">
        <v>96</v>
      </c>
      <c r="M614" s="4" t="str">
        <f t="shared" si="18"/>
        <v>Involuntary</v>
      </c>
      <c r="N614" s="23" t="s">
        <v>26</v>
      </c>
    </row>
    <row r="615" spans="1:14" x14ac:dyDescent="0.25">
      <c r="A615" s="22">
        <v>3970</v>
      </c>
      <c r="B615" s="3">
        <v>40277</v>
      </c>
      <c r="C615" s="3">
        <v>44167</v>
      </c>
      <c r="D615" s="2">
        <f t="shared" si="19"/>
        <v>10</v>
      </c>
      <c r="E615" s="4" t="str" cm="1">
        <f t="array" ref="E615">_xlfn.IFS(
D615&lt;=5,"Newcomer",
D615&lt;=10,"Proficient",
D615&gt;10,"Expert"
)</f>
        <v>Proficient</v>
      </c>
      <c r="F615" s="2" t="s">
        <v>106</v>
      </c>
      <c r="G615" s="5" t="s">
        <v>67</v>
      </c>
      <c r="H615" s="5" t="s">
        <v>68</v>
      </c>
      <c r="I615" s="2">
        <v>20</v>
      </c>
      <c r="J615" s="2" t="s">
        <v>17</v>
      </c>
      <c r="K615" s="2" t="s">
        <v>18</v>
      </c>
      <c r="L615" s="2" t="s">
        <v>96</v>
      </c>
      <c r="M615" s="4" t="str">
        <f t="shared" si="18"/>
        <v>Involuntary</v>
      </c>
      <c r="N615" s="23" t="s">
        <v>26</v>
      </c>
    </row>
    <row r="616" spans="1:14" x14ac:dyDescent="0.25">
      <c r="A616" s="22">
        <v>3977</v>
      </c>
      <c r="B616" s="3">
        <v>36081</v>
      </c>
      <c r="C616" s="3">
        <v>44159</v>
      </c>
      <c r="D616" s="2">
        <f t="shared" si="19"/>
        <v>22</v>
      </c>
      <c r="E616" s="4" t="str" cm="1">
        <f t="array" ref="E616">_xlfn.IFS(
D616&lt;=5,"Newcomer",
D616&lt;=10,"Proficient",
D616&gt;10,"Expert"
)</f>
        <v>Expert</v>
      </c>
      <c r="F616" s="2" t="s">
        <v>14</v>
      </c>
      <c r="G616" s="5" t="s">
        <v>35</v>
      </c>
      <c r="H616" s="5" t="s">
        <v>76</v>
      </c>
      <c r="I616" s="2">
        <v>35</v>
      </c>
      <c r="J616" s="2" t="s">
        <v>24</v>
      </c>
      <c r="K616" s="2" t="s">
        <v>25</v>
      </c>
      <c r="L616" s="2" t="s">
        <v>96</v>
      </c>
      <c r="M616" s="4" t="str">
        <f t="shared" si="18"/>
        <v>Involuntary</v>
      </c>
      <c r="N616" s="23" t="s">
        <v>26</v>
      </c>
    </row>
    <row r="617" spans="1:14" x14ac:dyDescent="0.25">
      <c r="A617" s="22">
        <v>3978</v>
      </c>
      <c r="B617" s="3">
        <v>38678</v>
      </c>
      <c r="C617" s="3">
        <v>43876</v>
      </c>
      <c r="D617" s="2">
        <f t="shared" si="19"/>
        <v>15</v>
      </c>
      <c r="E617" s="4" t="str" cm="1">
        <f t="array" ref="E617">_xlfn.IFS(
D617&lt;=5,"Newcomer",
D617&lt;=10,"Proficient",
D617&gt;10,"Expert"
)</f>
        <v>Expert</v>
      </c>
      <c r="F617" s="2" t="s">
        <v>104</v>
      </c>
      <c r="G617" s="5" t="s">
        <v>71</v>
      </c>
      <c r="H617" s="5" t="s">
        <v>116</v>
      </c>
      <c r="I617" s="2">
        <v>39</v>
      </c>
      <c r="J617" s="2" t="s">
        <v>17</v>
      </c>
      <c r="K617" s="2" t="s">
        <v>18</v>
      </c>
      <c r="L617" s="2" t="s">
        <v>96</v>
      </c>
      <c r="M617" s="4" t="str">
        <f t="shared" si="18"/>
        <v>Involuntary</v>
      </c>
      <c r="N617" s="23" t="s">
        <v>26</v>
      </c>
    </row>
    <row r="618" spans="1:14" x14ac:dyDescent="0.25">
      <c r="A618" s="22">
        <v>3985</v>
      </c>
      <c r="B618" s="3">
        <v>40491</v>
      </c>
      <c r="C618" s="3">
        <v>43976</v>
      </c>
      <c r="D618" s="2">
        <f t="shared" si="19"/>
        <v>10</v>
      </c>
      <c r="E618" s="4" t="str" cm="1">
        <f t="array" ref="E618">_xlfn.IFS(
D618&lt;=5,"Newcomer",
D618&lt;=10,"Proficient",
D618&gt;10,"Expert"
)</f>
        <v>Proficient</v>
      </c>
      <c r="F618" s="2" t="s">
        <v>102</v>
      </c>
      <c r="G618" s="5" t="s">
        <v>67</v>
      </c>
      <c r="H618" s="5" t="s">
        <v>113</v>
      </c>
      <c r="I618" s="2">
        <v>1</v>
      </c>
      <c r="J618" s="2" t="s">
        <v>24</v>
      </c>
      <c r="K618" s="2" t="s">
        <v>25</v>
      </c>
      <c r="L618" s="2" t="s">
        <v>96</v>
      </c>
      <c r="M618" s="4" t="str">
        <f t="shared" si="18"/>
        <v>Involuntary</v>
      </c>
      <c r="N618" s="23" t="s">
        <v>26</v>
      </c>
    </row>
    <row r="619" spans="1:14" x14ac:dyDescent="0.25">
      <c r="A619" s="22">
        <v>3987</v>
      </c>
      <c r="B619" s="3">
        <v>34056</v>
      </c>
      <c r="C619" s="3">
        <v>44138</v>
      </c>
      <c r="D619" s="2">
        <f t="shared" si="19"/>
        <v>27</v>
      </c>
      <c r="E619" s="4" t="str" cm="1">
        <f t="array" ref="E619">_xlfn.IFS(
D619&lt;=5,"Newcomer",
D619&lt;=10,"Proficient",
D619&gt;10,"Expert"
)</f>
        <v>Expert</v>
      </c>
      <c r="F619" s="2" t="s">
        <v>102</v>
      </c>
      <c r="G619" s="5" t="s">
        <v>47</v>
      </c>
      <c r="H619" s="5" t="s">
        <v>95</v>
      </c>
      <c r="I619" s="2">
        <v>1</v>
      </c>
      <c r="J619" s="2" t="s">
        <v>24</v>
      </c>
      <c r="K619" s="2" t="s">
        <v>25</v>
      </c>
      <c r="L619" s="2" t="s">
        <v>96</v>
      </c>
      <c r="M619" s="4" t="str">
        <f t="shared" si="18"/>
        <v>Involuntary</v>
      </c>
      <c r="N619" s="23" t="s">
        <v>26</v>
      </c>
    </row>
    <row r="620" spans="1:14" x14ac:dyDescent="0.25">
      <c r="A620" s="22">
        <v>3988</v>
      </c>
      <c r="B620" s="3">
        <v>41409</v>
      </c>
      <c r="C620" s="3">
        <v>44038</v>
      </c>
      <c r="D620" s="2">
        <f t="shared" si="19"/>
        <v>7</v>
      </c>
      <c r="E620" s="4" t="str" cm="1">
        <f t="array" ref="E620">_xlfn.IFS(
D620&lt;=5,"Newcomer",
D620&lt;=10,"Proficient",
D620&gt;10,"Expert"
)</f>
        <v>Proficient</v>
      </c>
      <c r="F620" s="2" t="s">
        <v>53</v>
      </c>
      <c r="G620" s="5" t="s">
        <v>42</v>
      </c>
      <c r="H620" s="5" t="s">
        <v>105</v>
      </c>
      <c r="I620" s="2">
        <v>31</v>
      </c>
      <c r="J620" s="2" t="s">
        <v>24</v>
      </c>
      <c r="K620" s="2" t="s">
        <v>25</v>
      </c>
      <c r="L620" s="2" t="s">
        <v>96</v>
      </c>
      <c r="M620" s="4" t="str">
        <f t="shared" si="18"/>
        <v>Involuntary</v>
      </c>
      <c r="N620" s="23" t="s">
        <v>26</v>
      </c>
    </row>
    <row r="621" spans="1:14" x14ac:dyDescent="0.25">
      <c r="A621" s="22">
        <v>3994</v>
      </c>
      <c r="B621" s="3">
        <v>40534</v>
      </c>
      <c r="C621" s="3">
        <v>44186</v>
      </c>
      <c r="D621" s="2">
        <f t="shared" si="19"/>
        <v>10</v>
      </c>
      <c r="E621" s="4" t="str" cm="1">
        <f t="array" ref="E621">_xlfn.IFS(
D621&lt;=5,"Newcomer",
D621&lt;=10,"Proficient",
D621&gt;10,"Expert"
)</f>
        <v>Proficient</v>
      </c>
      <c r="F621" s="2" t="s">
        <v>100</v>
      </c>
      <c r="G621" s="5" t="s">
        <v>47</v>
      </c>
      <c r="H621" s="5" t="s">
        <v>48</v>
      </c>
      <c r="I621" s="2">
        <v>13</v>
      </c>
      <c r="J621" s="2" t="s">
        <v>24</v>
      </c>
      <c r="K621" s="2" t="s">
        <v>25</v>
      </c>
      <c r="L621" s="2" t="s">
        <v>96</v>
      </c>
      <c r="M621" s="4" t="str">
        <f t="shared" si="18"/>
        <v>Involuntary</v>
      </c>
      <c r="N621" s="23" t="s">
        <v>26</v>
      </c>
    </row>
    <row r="622" spans="1:14" x14ac:dyDescent="0.25">
      <c r="A622" s="22">
        <v>3999</v>
      </c>
      <c r="B622" s="3">
        <v>35931</v>
      </c>
      <c r="C622" s="3">
        <v>44052</v>
      </c>
      <c r="D622" s="2">
        <f t="shared" si="19"/>
        <v>22</v>
      </c>
      <c r="E622" s="4" t="str" cm="1">
        <f t="array" ref="E622">_xlfn.IFS(
D622&lt;=5,"Newcomer",
D622&lt;=10,"Proficient",
D622&gt;10,"Expert"
)</f>
        <v>Expert</v>
      </c>
      <c r="F622" s="2" t="s">
        <v>14</v>
      </c>
      <c r="G622" s="5" t="s">
        <v>35</v>
      </c>
      <c r="H622" s="5" t="s">
        <v>76</v>
      </c>
      <c r="I622" s="2">
        <v>35</v>
      </c>
      <c r="J622" s="2" t="s">
        <v>24</v>
      </c>
      <c r="K622" s="2" t="s">
        <v>25</v>
      </c>
      <c r="L622" s="2" t="s">
        <v>96</v>
      </c>
      <c r="M622" s="4" t="str">
        <f t="shared" si="18"/>
        <v>Involuntary</v>
      </c>
      <c r="N622" s="23" t="s">
        <v>26</v>
      </c>
    </row>
    <row r="623" spans="1:14" x14ac:dyDescent="0.25">
      <c r="A623" s="22">
        <v>4014</v>
      </c>
      <c r="B623" s="3">
        <v>40378</v>
      </c>
      <c r="C623" s="3">
        <v>44150</v>
      </c>
      <c r="D623" s="2">
        <f t="shared" si="19"/>
        <v>10</v>
      </c>
      <c r="E623" s="4" t="str" cm="1">
        <f t="array" ref="E623">_xlfn.IFS(
D623&lt;=5,"Newcomer",
D623&lt;=10,"Proficient",
D623&gt;10,"Expert"
)</f>
        <v>Proficient</v>
      </c>
      <c r="F623" s="2" t="s">
        <v>103</v>
      </c>
      <c r="G623" s="5" t="s">
        <v>42</v>
      </c>
      <c r="H623" s="5" t="s">
        <v>105</v>
      </c>
      <c r="I623" s="2">
        <v>2</v>
      </c>
      <c r="J623" s="2" t="s">
        <v>24</v>
      </c>
      <c r="K623" s="2" t="s">
        <v>25</v>
      </c>
      <c r="L623" s="2" t="s">
        <v>96</v>
      </c>
      <c r="M623" s="4" t="str">
        <f t="shared" si="18"/>
        <v>Involuntary</v>
      </c>
      <c r="N623" s="23" t="s">
        <v>26</v>
      </c>
    </row>
    <row r="624" spans="1:14" x14ac:dyDescent="0.25">
      <c r="A624" s="22">
        <v>4018</v>
      </c>
      <c r="B624" s="3">
        <v>34550</v>
      </c>
      <c r="C624" s="3">
        <v>43842</v>
      </c>
      <c r="D624" s="2">
        <f t="shared" si="19"/>
        <v>26</v>
      </c>
      <c r="E624" s="4" t="str" cm="1">
        <f t="array" ref="E624">_xlfn.IFS(
D624&lt;=5,"Newcomer",
D624&lt;=10,"Proficient",
D624&gt;10,"Expert"
)</f>
        <v>Expert</v>
      </c>
      <c r="F624" s="2" t="s">
        <v>77</v>
      </c>
      <c r="G624" s="5" t="s">
        <v>42</v>
      </c>
      <c r="H624" s="5" t="s">
        <v>105</v>
      </c>
      <c r="I624" s="2">
        <v>30</v>
      </c>
      <c r="J624" s="2" t="s">
        <v>24</v>
      </c>
      <c r="K624" s="2" t="s">
        <v>25</v>
      </c>
      <c r="L624" s="2" t="s">
        <v>96</v>
      </c>
      <c r="M624" s="4" t="str">
        <f t="shared" si="18"/>
        <v>Involuntary</v>
      </c>
      <c r="N624" s="23" t="s">
        <v>26</v>
      </c>
    </row>
    <row r="625" spans="1:14" x14ac:dyDescent="0.25">
      <c r="A625" s="22">
        <v>4025</v>
      </c>
      <c r="B625" s="3">
        <v>39125</v>
      </c>
      <c r="C625" s="3">
        <v>43958</v>
      </c>
      <c r="D625" s="2">
        <f t="shared" si="19"/>
        <v>13</v>
      </c>
      <c r="E625" s="4" t="str" cm="1">
        <f t="array" ref="E625">_xlfn.IFS(
D625&lt;=5,"Newcomer",
D625&lt;=10,"Proficient",
D625&gt;10,"Expert"
)</f>
        <v>Expert</v>
      </c>
      <c r="F625" s="2" t="s">
        <v>14</v>
      </c>
      <c r="G625" s="5" t="s">
        <v>35</v>
      </c>
      <c r="H625" s="5" t="s">
        <v>76</v>
      </c>
      <c r="I625" s="2">
        <v>35</v>
      </c>
      <c r="J625" s="2" t="s">
        <v>24</v>
      </c>
      <c r="K625" s="2" t="s">
        <v>25</v>
      </c>
      <c r="L625" s="2" t="s">
        <v>96</v>
      </c>
      <c r="M625" s="4" t="str">
        <f t="shared" si="18"/>
        <v>Involuntary</v>
      </c>
      <c r="N625" s="23" t="s">
        <v>26</v>
      </c>
    </row>
    <row r="626" spans="1:14" x14ac:dyDescent="0.25">
      <c r="A626" s="22">
        <v>4030</v>
      </c>
      <c r="B626" s="3">
        <v>40514</v>
      </c>
      <c r="C626" s="3">
        <v>44039</v>
      </c>
      <c r="D626" s="2">
        <f t="shared" si="19"/>
        <v>10</v>
      </c>
      <c r="E626" s="4" t="str" cm="1">
        <f t="array" ref="E626">_xlfn.IFS(
D626&lt;=5,"Newcomer",
D626&lt;=10,"Proficient",
D626&gt;10,"Expert"
)</f>
        <v>Proficient</v>
      </c>
      <c r="F626" s="2" t="s">
        <v>53</v>
      </c>
      <c r="G626" s="5" t="s">
        <v>42</v>
      </c>
      <c r="H626" s="5" t="s">
        <v>105</v>
      </c>
      <c r="I626" s="2">
        <v>31</v>
      </c>
      <c r="J626" s="2" t="s">
        <v>24</v>
      </c>
      <c r="K626" s="2" t="s">
        <v>25</v>
      </c>
      <c r="L626" s="2" t="s">
        <v>96</v>
      </c>
      <c r="M626" s="4" t="str">
        <f t="shared" si="18"/>
        <v>Involuntary</v>
      </c>
      <c r="N626" s="23" t="s">
        <v>26</v>
      </c>
    </row>
    <row r="627" spans="1:14" x14ac:dyDescent="0.25">
      <c r="A627" s="22">
        <v>4039</v>
      </c>
      <c r="B627" s="3">
        <v>33168</v>
      </c>
      <c r="C627" s="3">
        <v>43850</v>
      </c>
      <c r="D627" s="2">
        <f t="shared" si="19"/>
        <v>30</v>
      </c>
      <c r="E627" s="4" t="str" cm="1">
        <f t="array" ref="E627">_xlfn.IFS(
D627&lt;=5,"Newcomer",
D627&lt;=10,"Proficient",
D627&gt;10,"Expert"
)</f>
        <v>Expert</v>
      </c>
      <c r="F627" s="2" t="s">
        <v>14</v>
      </c>
      <c r="G627" s="5" t="s">
        <v>35</v>
      </c>
      <c r="H627" s="5" t="s">
        <v>76</v>
      </c>
      <c r="I627" s="2">
        <v>35</v>
      </c>
      <c r="J627" s="2" t="s">
        <v>24</v>
      </c>
      <c r="K627" s="2" t="s">
        <v>25</v>
      </c>
      <c r="L627" s="2" t="s">
        <v>96</v>
      </c>
      <c r="M627" s="4" t="str">
        <f t="shared" si="18"/>
        <v>Involuntary</v>
      </c>
      <c r="N627" s="23" t="s">
        <v>26</v>
      </c>
    </row>
    <row r="628" spans="1:14" x14ac:dyDescent="0.25">
      <c r="A628" s="22">
        <v>4046</v>
      </c>
      <c r="B628" s="3">
        <v>39806</v>
      </c>
      <c r="C628" s="3">
        <v>43929</v>
      </c>
      <c r="D628" s="2">
        <f t="shared" si="19"/>
        <v>12</v>
      </c>
      <c r="E628" s="4" t="str" cm="1">
        <f t="array" ref="E628">_xlfn.IFS(
D628&lt;=5,"Newcomer",
D628&lt;=10,"Proficient",
D628&gt;10,"Expert"
)</f>
        <v>Expert</v>
      </c>
      <c r="F628" s="2" t="s">
        <v>114</v>
      </c>
      <c r="G628" s="5" t="s">
        <v>47</v>
      </c>
      <c r="H628" s="5" t="s">
        <v>95</v>
      </c>
      <c r="I628" s="2">
        <v>27</v>
      </c>
      <c r="J628" s="2" t="s">
        <v>24</v>
      </c>
      <c r="K628" s="2" t="s">
        <v>25</v>
      </c>
      <c r="L628" s="2" t="s">
        <v>96</v>
      </c>
      <c r="M628" s="4" t="str">
        <f t="shared" si="18"/>
        <v>Involuntary</v>
      </c>
      <c r="N628" s="23" t="s">
        <v>26</v>
      </c>
    </row>
    <row r="629" spans="1:14" x14ac:dyDescent="0.25">
      <c r="A629" s="22">
        <v>4049</v>
      </c>
      <c r="B629" s="3">
        <v>38556</v>
      </c>
      <c r="C629" s="3">
        <v>44176</v>
      </c>
      <c r="D629" s="2">
        <f t="shared" si="19"/>
        <v>15</v>
      </c>
      <c r="E629" s="4" t="str" cm="1">
        <f t="array" ref="E629">_xlfn.IFS(
D629&lt;=5,"Newcomer",
D629&lt;=10,"Proficient",
D629&gt;10,"Expert"
)</f>
        <v>Expert</v>
      </c>
      <c r="F629" s="2" t="s">
        <v>14</v>
      </c>
      <c r="G629" s="5" t="s">
        <v>35</v>
      </c>
      <c r="H629" s="5" t="s">
        <v>76</v>
      </c>
      <c r="I629" s="2">
        <v>35</v>
      </c>
      <c r="J629" s="2" t="s">
        <v>24</v>
      </c>
      <c r="K629" s="2" t="s">
        <v>25</v>
      </c>
      <c r="L629" s="2" t="s">
        <v>96</v>
      </c>
      <c r="M629" s="4" t="str">
        <f t="shared" si="18"/>
        <v>Involuntary</v>
      </c>
      <c r="N629" s="23" t="s">
        <v>26</v>
      </c>
    </row>
    <row r="630" spans="1:14" x14ac:dyDescent="0.25">
      <c r="A630" s="22">
        <v>4057</v>
      </c>
      <c r="B630" s="3">
        <v>41331</v>
      </c>
      <c r="C630" s="3">
        <v>44121</v>
      </c>
      <c r="D630" s="2">
        <f t="shared" si="19"/>
        <v>7</v>
      </c>
      <c r="E630" s="4" t="str" cm="1">
        <f t="array" ref="E630">_xlfn.IFS(
D630&lt;=5,"Newcomer",
D630&lt;=10,"Proficient",
D630&gt;10,"Expert"
)</f>
        <v>Proficient</v>
      </c>
      <c r="F630" s="2" t="s">
        <v>69</v>
      </c>
      <c r="G630" s="5" t="s">
        <v>35</v>
      </c>
      <c r="H630" s="5" t="s">
        <v>76</v>
      </c>
      <c r="I630" s="2">
        <v>28</v>
      </c>
      <c r="J630" s="2" t="s">
        <v>24</v>
      </c>
      <c r="K630" s="2" t="s">
        <v>25</v>
      </c>
      <c r="L630" s="2" t="s">
        <v>96</v>
      </c>
      <c r="M630" s="4" t="str">
        <f t="shared" si="18"/>
        <v>Involuntary</v>
      </c>
      <c r="N630" s="23" t="s">
        <v>26</v>
      </c>
    </row>
    <row r="631" spans="1:14" x14ac:dyDescent="0.25">
      <c r="A631" s="22">
        <v>4063</v>
      </c>
      <c r="B631" s="3">
        <v>38968</v>
      </c>
      <c r="C631" s="3">
        <v>43998</v>
      </c>
      <c r="D631" s="2">
        <f t="shared" si="19"/>
        <v>14</v>
      </c>
      <c r="E631" s="4" t="str" cm="1">
        <f t="array" ref="E631">_xlfn.IFS(
D631&lt;=5,"Newcomer",
D631&lt;=10,"Proficient",
D631&gt;10,"Expert"
)</f>
        <v>Expert</v>
      </c>
      <c r="F631" s="2" t="s">
        <v>78</v>
      </c>
      <c r="G631" s="5" t="s">
        <v>42</v>
      </c>
      <c r="H631" s="5" t="s">
        <v>105</v>
      </c>
      <c r="I631" s="2">
        <v>21</v>
      </c>
      <c r="J631" s="2" t="s">
        <v>24</v>
      </c>
      <c r="K631" s="2" t="s">
        <v>25</v>
      </c>
      <c r="L631" s="2" t="s">
        <v>96</v>
      </c>
      <c r="M631" s="4" t="str">
        <f t="shared" si="18"/>
        <v>Involuntary</v>
      </c>
      <c r="N631" s="23" t="s">
        <v>26</v>
      </c>
    </row>
    <row r="632" spans="1:14" x14ac:dyDescent="0.25">
      <c r="A632" s="22">
        <v>4065</v>
      </c>
      <c r="B632" s="3">
        <v>37224</v>
      </c>
      <c r="C632" s="3">
        <v>44102</v>
      </c>
      <c r="D632" s="2">
        <f t="shared" si="19"/>
        <v>19</v>
      </c>
      <c r="E632" s="4" t="str" cm="1">
        <f t="array" ref="E632">_xlfn.IFS(
D632&lt;=5,"Newcomer",
D632&lt;=10,"Proficient",
D632&gt;10,"Expert"
)</f>
        <v>Expert</v>
      </c>
      <c r="F632" s="2" t="s">
        <v>77</v>
      </c>
      <c r="G632" s="5" t="s">
        <v>42</v>
      </c>
      <c r="H632" s="5" t="s">
        <v>105</v>
      </c>
      <c r="I632" s="2">
        <v>30</v>
      </c>
      <c r="J632" s="2" t="s">
        <v>24</v>
      </c>
      <c r="K632" s="2" t="s">
        <v>25</v>
      </c>
      <c r="L632" s="2" t="s">
        <v>50</v>
      </c>
      <c r="M632" s="4" t="str">
        <f t="shared" si="18"/>
        <v>Voluntary</v>
      </c>
      <c r="N632" s="23" t="s">
        <v>26</v>
      </c>
    </row>
    <row r="633" spans="1:14" x14ac:dyDescent="0.25">
      <c r="A633" s="22">
        <v>4075</v>
      </c>
      <c r="B633" s="3">
        <v>41603</v>
      </c>
      <c r="C633" s="3">
        <v>44091</v>
      </c>
      <c r="D633" s="2">
        <f t="shared" si="19"/>
        <v>7</v>
      </c>
      <c r="E633" s="4" t="str" cm="1">
        <f t="array" ref="E633">_xlfn.IFS(
D633&lt;=5,"Newcomer",
D633&lt;=10,"Proficient",
D633&gt;10,"Expert"
)</f>
        <v>Proficient</v>
      </c>
      <c r="F633" s="2" t="s">
        <v>44</v>
      </c>
      <c r="G633" s="5" t="s">
        <v>42</v>
      </c>
      <c r="H633" s="5" t="s">
        <v>105</v>
      </c>
      <c r="I633" s="2">
        <v>18</v>
      </c>
      <c r="J633" s="2" t="s">
        <v>24</v>
      </c>
      <c r="K633" s="2" t="s">
        <v>25</v>
      </c>
      <c r="L633" s="2" t="s">
        <v>96</v>
      </c>
      <c r="M633" s="4" t="str">
        <f t="shared" si="18"/>
        <v>Involuntary</v>
      </c>
      <c r="N633" s="23" t="s">
        <v>26</v>
      </c>
    </row>
    <row r="634" spans="1:14" x14ac:dyDescent="0.25">
      <c r="A634" s="22">
        <v>4082</v>
      </c>
      <c r="B634" s="3">
        <v>36591</v>
      </c>
      <c r="C634" s="3">
        <v>44069</v>
      </c>
      <c r="D634" s="2">
        <f t="shared" si="19"/>
        <v>20</v>
      </c>
      <c r="E634" s="4" t="str" cm="1">
        <f t="array" ref="E634">_xlfn.IFS(
D634&lt;=5,"Newcomer",
D634&lt;=10,"Proficient",
D634&gt;10,"Expert"
)</f>
        <v>Expert</v>
      </c>
      <c r="F634" s="2" t="s">
        <v>103</v>
      </c>
      <c r="G634" s="5" t="s">
        <v>42</v>
      </c>
      <c r="H634" s="5" t="s">
        <v>105</v>
      </c>
      <c r="I634" s="2">
        <v>2</v>
      </c>
      <c r="J634" s="2" t="s">
        <v>24</v>
      </c>
      <c r="K634" s="2" t="s">
        <v>25</v>
      </c>
      <c r="L634" s="2" t="s">
        <v>96</v>
      </c>
      <c r="M634" s="4" t="str">
        <f t="shared" si="18"/>
        <v>Involuntary</v>
      </c>
      <c r="N634" s="23" t="s">
        <v>26</v>
      </c>
    </row>
    <row r="635" spans="1:14" x14ac:dyDescent="0.25">
      <c r="A635" s="22">
        <v>4085</v>
      </c>
      <c r="B635" s="3">
        <v>36922</v>
      </c>
      <c r="C635" s="3">
        <v>44138</v>
      </c>
      <c r="D635" s="2">
        <f t="shared" si="19"/>
        <v>19</v>
      </c>
      <c r="E635" s="4" t="str" cm="1">
        <f t="array" ref="E635">_xlfn.IFS(
D635&lt;=5,"Newcomer",
D635&lt;=10,"Proficient",
D635&gt;10,"Expert"
)</f>
        <v>Expert</v>
      </c>
      <c r="F635" s="2" t="s">
        <v>14</v>
      </c>
      <c r="G635" s="5" t="s">
        <v>35</v>
      </c>
      <c r="H635" s="5" t="s">
        <v>76</v>
      </c>
      <c r="I635" s="2">
        <v>35</v>
      </c>
      <c r="J635" s="2" t="s">
        <v>24</v>
      </c>
      <c r="K635" s="2" t="s">
        <v>25</v>
      </c>
      <c r="L635" s="2" t="s">
        <v>96</v>
      </c>
      <c r="M635" s="4" t="str">
        <f t="shared" si="18"/>
        <v>Involuntary</v>
      </c>
      <c r="N635" s="23" t="s">
        <v>26</v>
      </c>
    </row>
    <row r="636" spans="1:14" x14ac:dyDescent="0.25">
      <c r="A636" s="22">
        <v>4091</v>
      </c>
      <c r="B636" s="3">
        <v>36332</v>
      </c>
      <c r="C636" s="3">
        <v>43981</v>
      </c>
      <c r="D636" s="2">
        <f t="shared" si="19"/>
        <v>21</v>
      </c>
      <c r="E636" s="4" t="str" cm="1">
        <f t="array" ref="E636">_xlfn.IFS(
D636&lt;=5,"Newcomer",
D636&lt;=10,"Proficient",
D636&gt;10,"Expert"
)</f>
        <v>Expert</v>
      </c>
      <c r="F636" s="2" t="s">
        <v>86</v>
      </c>
      <c r="G636" s="5" t="s">
        <v>42</v>
      </c>
      <c r="H636" s="5" t="s">
        <v>105</v>
      </c>
      <c r="I636" s="2">
        <v>8</v>
      </c>
      <c r="J636" s="2" t="s">
        <v>24</v>
      </c>
      <c r="K636" s="2" t="s">
        <v>25</v>
      </c>
      <c r="L636" s="2" t="s">
        <v>96</v>
      </c>
      <c r="M636" s="4" t="str">
        <f t="shared" si="18"/>
        <v>Involuntary</v>
      </c>
      <c r="N636" s="23" t="s">
        <v>26</v>
      </c>
    </row>
    <row r="637" spans="1:14" x14ac:dyDescent="0.25">
      <c r="A637" s="22">
        <v>4093</v>
      </c>
      <c r="B637" s="3">
        <v>37803</v>
      </c>
      <c r="C637" s="3">
        <v>44117</v>
      </c>
      <c r="D637" s="2">
        <f t="shared" si="19"/>
        <v>17</v>
      </c>
      <c r="E637" s="4" t="str" cm="1">
        <f t="array" ref="E637">_xlfn.IFS(
D637&lt;=5,"Newcomer",
D637&lt;=10,"Proficient",
D637&gt;10,"Expert"
)</f>
        <v>Expert</v>
      </c>
      <c r="F637" s="2" t="s">
        <v>14</v>
      </c>
      <c r="G637" s="5" t="s">
        <v>35</v>
      </c>
      <c r="H637" s="5" t="s">
        <v>76</v>
      </c>
      <c r="I637" s="2">
        <v>35</v>
      </c>
      <c r="J637" s="2" t="s">
        <v>24</v>
      </c>
      <c r="K637" s="2" t="s">
        <v>25</v>
      </c>
      <c r="L637" s="2" t="s">
        <v>96</v>
      </c>
      <c r="M637" s="4" t="str">
        <f t="shared" si="18"/>
        <v>Involuntary</v>
      </c>
      <c r="N637" s="23" t="s">
        <v>26</v>
      </c>
    </row>
    <row r="638" spans="1:14" x14ac:dyDescent="0.25">
      <c r="A638" s="22">
        <v>4098</v>
      </c>
      <c r="B638" s="3">
        <v>34657</v>
      </c>
      <c r="C638" s="3">
        <v>44061</v>
      </c>
      <c r="D638" s="2">
        <f t="shared" si="19"/>
        <v>26</v>
      </c>
      <c r="E638" s="4" t="str" cm="1">
        <f t="array" ref="E638">_xlfn.IFS(
D638&lt;=5,"Newcomer",
D638&lt;=10,"Proficient",
D638&gt;10,"Expert"
)</f>
        <v>Expert</v>
      </c>
      <c r="F638" s="2" t="s">
        <v>14</v>
      </c>
      <c r="G638" s="5" t="s">
        <v>35</v>
      </c>
      <c r="H638" s="5" t="s">
        <v>76</v>
      </c>
      <c r="I638" s="2">
        <v>35</v>
      </c>
      <c r="J638" s="2" t="s">
        <v>17</v>
      </c>
      <c r="K638" s="2" t="s">
        <v>18</v>
      </c>
      <c r="L638" s="2" t="s">
        <v>96</v>
      </c>
      <c r="M638" s="4" t="str">
        <f t="shared" si="18"/>
        <v>Involuntary</v>
      </c>
      <c r="N638" s="23" t="s">
        <v>26</v>
      </c>
    </row>
    <row r="639" spans="1:14" x14ac:dyDescent="0.25">
      <c r="A639" s="22">
        <v>4099</v>
      </c>
      <c r="B639" s="3">
        <v>36338</v>
      </c>
      <c r="C639" s="3">
        <v>43947</v>
      </c>
      <c r="D639" s="2">
        <f t="shared" si="19"/>
        <v>21</v>
      </c>
      <c r="E639" s="4" t="str" cm="1">
        <f t="array" ref="E639">_xlfn.IFS(
D639&lt;=5,"Newcomer",
D639&lt;=10,"Proficient",
D639&gt;10,"Expert"
)</f>
        <v>Expert</v>
      </c>
      <c r="F639" s="2" t="s">
        <v>27</v>
      </c>
      <c r="G639" s="5" t="s">
        <v>42</v>
      </c>
      <c r="H639" s="5" t="s">
        <v>105</v>
      </c>
      <c r="I639" s="2">
        <v>16</v>
      </c>
      <c r="J639" s="2" t="s">
        <v>24</v>
      </c>
      <c r="K639" s="2" t="s">
        <v>25</v>
      </c>
      <c r="L639" s="2" t="s">
        <v>96</v>
      </c>
      <c r="M639" s="4" t="str">
        <f t="shared" si="18"/>
        <v>Involuntary</v>
      </c>
      <c r="N639" s="23" t="s">
        <v>26</v>
      </c>
    </row>
    <row r="640" spans="1:14" x14ac:dyDescent="0.25">
      <c r="A640" s="22">
        <v>4103</v>
      </c>
      <c r="B640" s="3">
        <v>34539</v>
      </c>
      <c r="C640" s="3">
        <v>44032</v>
      </c>
      <c r="D640" s="2">
        <f t="shared" si="19"/>
        <v>26</v>
      </c>
      <c r="E640" s="4" t="str" cm="1">
        <f t="array" ref="E640">_xlfn.IFS(
D640&lt;=5,"Newcomer",
D640&lt;=10,"Proficient",
D640&gt;10,"Expert"
)</f>
        <v>Expert</v>
      </c>
      <c r="F640" s="2" t="s">
        <v>27</v>
      </c>
      <c r="G640" s="5" t="s">
        <v>42</v>
      </c>
      <c r="H640" s="5" t="s">
        <v>105</v>
      </c>
      <c r="I640" s="2">
        <v>16</v>
      </c>
      <c r="J640" s="2" t="s">
        <v>24</v>
      </c>
      <c r="K640" s="2" t="s">
        <v>25</v>
      </c>
      <c r="L640" s="2" t="s">
        <v>96</v>
      </c>
      <c r="M640" s="4" t="str">
        <f t="shared" si="18"/>
        <v>Involuntary</v>
      </c>
      <c r="N640" s="23" t="s">
        <v>26</v>
      </c>
    </row>
    <row r="641" spans="1:14" x14ac:dyDescent="0.25">
      <c r="A641" s="22">
        <v>4107</v>
      </c>
      <c r="B641" s="3">
        <v>34814</v>
      </c>
      <c r="C641" s="3">
        <v>43886</v>
      </c>
      <c r="D641" s="2">
        <f t="shared" si="19"/>
        <v>25</v>
      </c>
      <c r="E641" s="4" t="str" cm="1">
        <f t="array" ref="E641">_xlfn.IFS(
D641&lt;=5,"Newcomer",
D641&lt;=10,"Proficient",
D641&gt;10,"Expert"
)</f>
        <v>Expert</v>
      </c>
      <c r="F641" s="2" t="s">
        <v>102</v>
      </c>
      <c r="G641" s="5" t="s">
        <v>47</v>
      </c>
      <c r="H641" s="5" t="s">
        <v>95</v>
      </c>
      <c r="I641" s="2">
        <v>1</v>
      </c>
      <c r="J641" s="2" t="s">
        <v>24</v>
      </c>
      <c r="K641" s="2" t="s">
        <v>25</v>
      </c>
      <c r="L641" s="2" t="s">
        <v>96</v>
      </c>
      <c r="M641" s="4" t="str">
        <f t="shared" si="18"/>
        <v>Involuntary</v>
      </c>
      <c r="N641" s="23" t="s">
        <v>26</v>
      </c>
    </row>
    <row r="642" spans="1:14" x14ac:dyDescent="0.25">
      <c r="A642" s="22">
        <v>4110</v>
      </c>
      <c r="B642" s="3">
        <v>39341</v>
      </c>
      <c r="C642" s="3">
        <v>44167</v>
      </c>
      <c r="D642" s="2">
        <f t="shared" si="19"/>
        <v>13</v>
      </c>
      <c r="E642" s="4" t="str" cm="1">
        <f t="array" ref="E642">_xlfn.IFS(
D642&lt;=5,"Newcomer",
D642&lt;=10,"Proficient",
D642&gt;10,"Expert"
)</f>
        <v>Expert</v>
      </c>
      <c r="F642" s="2" t="s">
        <v>53</v>
      </c>
      <c r="G642" s="5" t="s">
        <v>42</v>
      </c>
      <c r="H642" s="5" t="s">
        <v>105</v>
      </c>
      <c r="I642" s="2">
        <v>31</v>
      </c>
      <c r="J642" s="2" t="s">
        <v>17</v>
      </c>
      <c r="K642" s="2" t="s">
        <v>18</v>
      </c>
      <c r="L642" s="2" t="s">
        <v>96</v>
      </c>
      <c r="M642" s="4" t="str">
        <f t="shared" ref="M642:M705" si="20">IF(OR(L642="Retirement",L642="Resignation"),"Voluntary","Involuntary")</f>
        <v>Involuntary</v>
      </c>
      <c r="N642" s="23" t="s">
        <v>26</v>
      </c>
    </row>
    <row r="643" spans="1:14" x14ac:dyDescent="0.25">
      <c r="A643" s="22">
        <v>4111</v>
      </c>
      <c r="B643" s="3">
        <v>35187</v>
      </c>
      <c r="C643" s="3">
        <v>44092</v>
      </c>
      <c r="D643" s="2">
        <f t="shared" ref="D643:D706" si="21">YEAR(C643)-YEAR(B643)</f>
        <v>24</v>
      </c>
      <c r="E643" s="4" t="str" cm="1">
        <f t="array" ref="E643">_xlfn.IFS(
D643&lt;=5,"Newcomer",
D643&lt;=10,"Proficient",
D643&gt;10,"Expert"
)</f>
        <v>Expert</v>
      </c>
      <c r="F643" s="2" t="s">
        <v>73</v>
      </c>
      <c r="G643" s="5" t="s">
        <v>42</v>
      </c>
      <c r="H643" s="5" t="s">
        <v>105</v>
      </c>
      <c r="I643" s="2">
        <v>32</v>
      </c>
      <c r="J643" s="2" t="s">
        <v>17</v>
      </c>
      <c r="K643" s="2" t="s">
        <v>18</v>
      </c>
      <c r="L643" s="2" t="s">
        <v>96</v>
      </c>
      <c r="M643" s="4" t="str">
        <f t="shared" si="20"/>
        <v>Involuntary</v>
      </c>
      <c r="N643" s="23" t="s">
        <v>26</v>
      </c>
    </row>
    <row r="644" spans="1:14" x14ac:dyDescent="0.25">
      <c r="A644" s="22">
        <v>4115</v>
      </c>
      <c r="B644" s="3">
        <v>34753</v>
      </c>
      <c r="C644" s="3">
        <v>43968</v>
      </c>
      <c r="D644" s="2">
        <f t="shared" si="21"/>
        <v>25</v>
      </c>
      <c r="E644" s="4" t="str" cm="1">
        <f t="array" ref="E644">_xlfn.IFS(
D644&lt;=5,"Newcomer",
D644&lt;=10,"Proficient",
D644&gt;10,"Expert"
)</f>
        <v>Expert</v>
      </c>
      <c r="F644" s="2" t="s">
        <v>107</v>
      </c>
      <c r="G644" s="5" t="s">
        <v>42</v>
      </c>
      <c r="H644" s="5" t="s">
        <v>105</v>
      </c>
      <c r="I644" s="2">
        <v>11</v>
      </c>
      <c r="J644" s="2" t="s">
        <v>17</v>
      </c>
      <c r="K644" s="2" t="s">
        <v>18</v>
      </c>
      <c r="L644" s="2" t="s">
        <v>96</v>
      </c>
      <c r="M644" s="4" t="str">
        <f t="shared" si="20"/>
        <v>Involuntary</v>
      </c>
      <c r="N644" s="23" t="s">
        <v>26</v>
      </c>
    </row>
    <row r="645" spans="1:14" x14ac:dyDescent="0.25">
      <c r="A645" s="22">
        <v>4116</v>
      </c>
      <c r="B645" s="3">
        <v>33065</v>
      </c>
      <c r="C645" s="3">
        <v>44105</v>
      </c>
      <c r="D645" s="2">
        <f t="shared" si="21"/>
        <v>30</v>
      </c>
      <c r="E645" s="4" t="str" cm="1">
        <f t="array" ref="E645">_xlfn.IFS(
D645&lt;=5,"Newcomer",
D645&lt;=10,"Proficient",
D645&gt;10,"Expert"
)</f>
        <v>Expert</v>
      </c>
      <c r="F645" s="2" t="s">
        <v>91</v>
      </c>
      <c r="G645" s="5" t="s">
        <v>42</v>
      </c>
      <c r="H645" s="5" t="s">
        <v>105</v>
      </c>
      <c r="I645" s="2">
        <v>29</v>
      </c>
      <c r="J645" s="2" t="s">
        <v>17</v>
      </c>
      <c r="K645" s="2" t="s">
        <v>18</v>
      </c>
      <c r="L645" s="2" t="s">
        <v>96</v>
      </c>
      <c r="M645" s="4" t="str">
        <f t="shared" si="20"/>
        <v>Involuntary</v>
      </c>
      <c r="N645" s="23" t="s">
        <v>26</v>
      </c>
    </row>
    <row r="646" spans="1:14" x14ac:dyDescent="0.25">
      <c r="A646" s="22">
        <v>4118</v>
      </c>
      <c r="B646" s="3">
        <v>37824</v>
      </c>
      <c r="C646" s="3">
        <v>43957</v>
      </c>
      <c r="D646" s="2">
        <f t="shared" si="21"/>
        <v>17</v>
      </c>
      <c r="E646" s="4" t="str" cm="1">
        <f t="array" ref="E646">_xlfn.IFS(
D646&lt;=5,"Newcomer",
D646&lt;=10,"Proficient",
D646&gt;10,"Expert"
)</f>
        <v>Expert</v>
      </c>
      <c r="F646" s="2" t="s">
        <v>14</v>
      </c>
      <c r="G646" s="5" t="s">
        <v>35</v>
      </c>
      <c r="H646" s="5" t="s">
        <v>76</v>
      </c>
      <c r="I646" s="2">
        <v>35</v>
      </c>
      <c r="J646" s="2" t="s">
        <v>17</v>
      </c>
      <c r="K646" s="2" t="s">
        <v>18</v>
      </c>
      <c r="L646" s="2" t="s">
        <v>96</v>
      </c>
      <c r="M646" s="4" t="str">
        <f t="shared" si="20"/>
        <v>Involuntary</v>
      </c>
      <c r="N646" s="23" t="s">
        <v>26</v>
      </c>
    </row>
    <row r="647" spans="1:14" x14ac:dyDescent="0.25">
      <c r="A647" s="22">
        <v>4125</v>
      </c>
      <c r="B647" s="3">
        <v>35095</v>
      </c>
      <c r="C647" s="3">
        <v>44126</v>
      </c>
      <c r="D647" s="2">
        <f t="shared" si="21"/>
        <v>24</v>
      </c>
      <c r="E647" s="4" t="str" cm="1">
        <f t="array" ref="E647">_xlfn.IFS(
D647&lt;=5,"Newcomer",
D647&lt;=10,"Proficient",
D647&gt;10,"Expert"
)</f>
        <v>Expert</v>
      </c>
      <c r="F647" s="2" t="s">
        <v>30</v>
      </c>
      <c r="G647" s="5" t="s">
        <v>42</v>
      </c>
      <c r="H647" s="5" t="s">
        <v>105</v>
      </c>
      <c r="I647" s="2">
        <v>37</v>
      </c>
      <c r="J647" s="2" t="s">
        <v>24</v>
      </c>
      <c r="K647" s="2" t="s">
        <v>25</v>
      </c>
      <c r="L647" s="2" t="s">
        <v>96</v>
      </c>
      <c r="M647" s="4" t="str">
        <f t="shared" si="20"/>
        <v>Involuntary</v>
      </c>
      <c r="N647" s="23" t="s">
        <v>26</v>
      </c>
    </row>
    <row r="648" spans="1:14" x14ac:dyDescent="0.25">
      <c r="A648" s="22">
        <v>4128</v>
      </c>
      <c r="B648" s="3">
        <v>35049</v>
      </c>
      <c r="C648" s="3">
        <v>43862</v>
      </c>
      <c r="D648" s="2">
        <f t="shared" si="21"/>
        <v>25</v>
      </c>
      <c r="E648" s="4" t="str" cm="1">
        <f t="array" ref="E648">_xlfn.IFS(
D648&lt;=5,"Newcomer",
D648&lt;=10,"Proficient",
D648&gt;10,"Expert"
)</f>
        <v>Expert</v>
      </c>
      <c r="F648" s="2" t="s">
        <v>14</v>
      </c>
      <c r="G648" s="5" t="s">
        <v>35</v>
      </c>
      <c r="H648" s="5" t="s">
        <v>76</v>
      </c>
      <c r="I648" s="2">
        <v>35</v>
      </c>
      <c r="J648" s="2" t="s">
        <v>17</v>
      </c>
      <c r="K648" s="2" t="s">
        <v>18</v>
      </c>
      <c r="L648" s="2" t="s">
        <v>96</v>
      </c>
      <c r="M648" s="4" t="str">
        <f t="shared" si="20"/>
        <v>Involuntary</v>
      </c>
      <c r="N648" s="23" t="s">
        <v>26</v>
      </c>
    </row>
    <row r="649" spans="1:14" x14ac:dyDescent="0.25">
      <c r="A649" s="22">
        <v>4129</v>
      </c>
      <c r="B649" s="3">
        <v>40499</v>
      </c>
      <c r="C649" s="3">
        <v>44081</v>
      </c>
      <c r="D649" s="2">
        <f t="shared" si="21"/>
        <v>10</v>
      </c>
      <c r="E649" s="4" t="str" cm="1">
        <f t="array" ref="E649">_xlfn.IFS(
D649&lt;=5,"Newcomer",
D649&lt;=10,"Proficient",
D649&gt;10,"Expert"
)</f>
        <v>Proficient</v>
      </c>
      <c r="F649" s="2" t="s">
        <v>77</v>
      </c>
      <c r="G649" s="5" t="s">
        <v>42</v>
      </c>
      <c r="H649" s="5" t="s">
        <v>105</v>
      </c>
      <c r="I649" s="2">
        <v>30</v>
      </c>
      <c r="J649" s="2" t="s">
        <v>24</v>
      </c>
      <c r="K649" s="2" t="s">
        <v>25</v>
      </c>
      <c r="L649" s="2" t="s">
        <v>96</v>
      </c>
      <c r="M649" s="4" t="str">
        <f t="shared" si="20"/>
        <v>Involuntary</v>
      </c>
      <c r="N649" s="23" t="s">
        <v>26</v>
      </c>
    </row>
    <row r="650" spans="1:14" x14ac:dyDescent="0.25">
      <c r="A650" s="22">
        <v>4131</v>
      </c>
      <c r="B650" s="3">
        <v>39923</v>
      </c>
      <c r="C650" s="3">
        <v>43899</v>
      </c>
      <c r="D650" s="2">
        <f t="shared" si="21"/>
        <v>11</v>
      </c>
      <c r="E650" s="4" t="str" cm="1">
        <f t="array" ref="E650">_xlfn.IFS(
D650&lt;=5,"Newcomer",
D650&lt;=10,"Proficient",
D650&gt;10,"Expert"
)</f>
        <v>Expert</v>
      </c>
      <c r="F650" s="2" t="s">
        <v>30</v>
      </c>
      <c r="G650" s="5" t="s">
        <v>42</v>
      </c>
      <c r="H650" s="5" t="s">
        <v>105</v>
      </c>
      <c r="I650" s="2">
        <v>37</v>
      </c>
      <c r="J650" s="2" t="s">
        <v>24</v>
      </c>
      <c r="K650" s="2" t="s">
        <v>25</v>
      </c>
      <c r="L650" s="2" t="s">
        <v>96</v>
      </c>
      <c r="M650" s="4" t="str">
        <f t="shared" si="20"/>
        <v>Involuntary</v>
      </c>
      <c r="N650" s="23" t="s">
        <v>26</v>
      </c>
    </row>
    <row r="651" spans="1:14" x14ac:dyDescent="0.25">
      <c r="A651" s="22">
        <v>4133</v>
      </c>
      <c r="B651" s="3">
        <v>35361</v>
      </c>
      <c r="C651" s="3">
        <v>44083</v>
      </c>
      <c r="D651" s="2">
        <f t="shared" si="21"/>
        <v>24</v>
      </c>
      <c r="E651" s="4" t="str" cm="1">
        <f t="array" ref="E651">_xlfn.IFS(
D651&lt;=5,"Newcomer",
D651&lt;=10,"Proficient",
D651&gt;10,"Expert"
)</f>
        <v>Expert</v>
      </c>
      <c r="F651" s="2" t="s">
        <v>41</v>
      </c>
      <c r="G651" s="5" t="s">
        <v>42</v>
      </c>
      <c r="H651" s="5" t="s">
        <v>105</v>
      </c>
      <c r="I651" s="2">
        <v>15</v>
      </c>
      <c r="J651" s="2" t="s">
        <v>17</v>
      </c>
      <c r="K651" s="2" t="s">
        <v>18</v>
      </c>
      <c r="L651" s="2" t="s">
        <v>50</v>
      </c>
      <c r="M651" s="4" t="str">
        <f t="shared" si="20"/>
        <v>Voluntary</v>
      </c>
      <c r="N651" s="23" t="s">
        <v>26</v>
      </c>
    </row>
    <row r="652" spans="1:14" x14ac:dyDescent="0.25">
      <c r="A652" s="22">
        <v>4134</v>
      </c>
      <c r="B652" s="3">
        <v>36767</v>
      </c>
      <c r="C652" s="3">
        <v>44009</v>
      </c>
      <c r="D652" s="2">
        <f t="shared" si="21"/>
        <v>20</v>
      </c>
      <c r="E652" s="4" t="str" cm="1">
        <f t="array" ref="E652">_xlfn.IFS(
D652&lt;=5,"Newcomer",
D652&lt;=10,"Proficient",
D652&gt;10,"Expert"
)</f>
        <v>Expert</v>
      </c>
      <c r="F652" s="2" t="s">
        <v>107</v>
      </c>
      <c r="G652" s="5" t="s">
        <v>35</v>
      </c>
      <c r="H652" s="5" t="s">
        <v>76</v>
      </c>
      <c r="I652" s="2">
        <v>11</v>
      </c>
      <c r="J652" s="2" t="s">
        <v>24</v>
      </c>
      <c r="K652" s="2" t="s">
        <v>25</v>
      </c>
      <c r="L652" s="2" t="s">
        <v>96</v>
      </c>
      <c r="M652" s="4" t="str">
        <f t="shared" si="20"/>
        <v>Involuntary</v>
      </c>
      <c r="N652" s="23" t="s">
        <v>26</v>
      </c>
    </row>
    <row r="653" spans="1:14" x14ac:dyDescent="0.25">
      <c r="A653" s="22">
        <v>4135</v>
      </c>
      <c r="B653" s="3">
        <v>37511</v>
      </c>
      <c r="C653" s="3">
        <v>44044</v>
      </c>
      <c r="D653" s="2">
        <f t="shared" si="21"/>
        <v>18</v>
      </c>
      <c r="E653" s="4" t="str" cm="1">
        <f t="array" ref="E653">_xlfn.IFS(
D653&lt;=5,"Newcomer",
D653&lt;=10,"Proficient",
D653&gt;10,"Expert"
)</f>
        <v>Expert</v>
      </c>
      <c r="F653" s="2" t="s">
        <v>30</v>
      </c>
      <c r="G653" s="5" t="s">
        <v>42</v>
      </c>
      <c r="H653" s="5" t="s">
        <v>105</v>
      </c>
      <c r="I653" s="2">
        <v>37</v>
      </c>
      <c r="J653" s="2" t="s">
        <v>17</v>
      </c>
      <c r="K653" s="2" t="s">
        <v>18</v>
      </c>
      <c r="L653" s="2" t="s">
        <v>96</v>
      </c>
      <c r="M653" s="4" t="str">
        <f t="shared" si="20"/>
        <v>Involuntary</v>
      </c>
      <c r="N653" s="23" t="s">
        <v>26</v>
      </c>
    </row>
    <row r="654" spans="1:14" x14ac:dyDescent="0.25">
      <c r="A654" s="22">
        <v>4138</v>
      </c>
      <c r="B654" s="3">
        <v>41311</v>
      </c>
      <c r="C654" s="3">
        <v>44019</v>
      </c>
      <c r="D654" s="2">
        <f t="shared" si="21"/>
        <v>7</v>
      </c>
      <c r="E654" s="4" t="str" cm="1">
        <f t="array" ref="E654">_xlfn.IFS(
D654&lt;=5,"Newcomer",
D654&lt;=10,"Proficient",
D654&gt;10,"Expert"
)</f>
        <v>Proficient</v>
      </c>
      <c r="F654" s="2" t="s">
        <v>53</v>
      </c>
      <c r="G654" s="5" t="s">
        <v>42</v>
      </c>
      <c r="H654" s="5" t="s">
        <v>105</v>
      </c>
      <c r="I654" s="2">
        <v>31</v>
      </c>
      <c r="J654" s="2" t="s">
        <v>24</v>
      </c>
      <c r="K654" s="2" t="s">
        <v>25</v>
      </c>
      <c r="L654" s="2" t="s">
        <v>96</v>
      </c>
      <c r="M654" s="4" t="str">
        <f t="shared" si="20"/>
        <v>Involuntary</v>
      </c>
      <c r="N654" s="23" t="s">
        <v>26</v>
      </c>
    </row>
    <row r="655" spans="1:14" x14ac:dyDescent="0.25">
      <c r="A655" s="22">
        <v>4140</v>
      </c>
      <c r="B655" s="3">
        <v>38985</v>
      </c>
      <c r="C655" s="3">
        <v>44130</v>
      </c>
      <c r="D655" s="2">
        <f t="shared" si="21"/>
        <v>14</v>
      </c>
      <c r="E655" s="4" t="str" cm="1">
        <f t="array" ref="E655">_xlfn.IFS(
D655&lt;=5,"Newcomer",
D655&lt;=10,"Proficient",
D655&gt;10,"Expert"
)</f>
        <v>Expert</v>
      </c>
      <c r="F655" s="2" t="s">
        <v>44</v>
      </c>
      <c r="G655" s="5" t="s">
        <v>42</v>
      </c>
      <c r="H655" s="5" t="s">
        <v>105</v>
      </c>
      <c r="I655" s="2">
        <v>18</v>
      </c>
      <c r="J655" s="2" t="s">
        <v>17</v>
      </c>
      <c r="K655" s="2" t="s">
        <v>18</v>
      </c>
      <c r="L655" s="2" t="s">
        <v>96</v>
      </c>
      <c r="M655" s="4" t="str">
        <f t="shared" si="20"/>
        <v>Involuntary</v>
      </c>
      <c r="N655" s="23" t="s">
        <v>26</v>
      </c>
    </row>
    <row r="656" spans="1:14" x14ac:dyDescent="0.25">
      <c r="A656" s="22">
        <v>4141</v>
      </c>
      <c r="B656" s="3">
        <v>36554</v>
      </c>
      <c r="C656" s="3">
        <v>44063</v>
      </c>
      <c r="D656" s="2">
        <f t="shared" si="21"/>
        <v>20</v>
      </c>
      <c r="E656" s="4" t="str" cm="1">
        <f t="array" ref="E656">_xlfn.IFS(
D656&lt;=5,"Newcomer",
D656&lt;=10,"Proficient",
D656&gt;10,"Expert"
)</f>
        <v>Expert</v>
      </c>
      <c r="F656" s="2" t="s">
        <v>14</v>
      </c>
      <c r="G656" s="5" t="s">
        <v>35</v>
      </c>
      <c r="H656" s="5" t="s">
        <v>76</v>
      </c>
      <c r="I656" s="2">
        <v>35</v>
      </c>
      <c r="J656" s="2" t="s">
        <v>24</v>
      </c>
      <c r="K656" s="2" t="s">
        <v>25</v>
      </c>
      <c r="L656" s="2" t="s">
        <v>96</v>
      </c>
      <c r="M656" s="4" t="str">
        <f t="shared" si="20"/>
        <v>Involuntary</v>
      </c>
      <c r="N656" s="23" t="s">
        <v>26</v>
      </c>
    </row>
    <row r="657" spans="1:14" x14ac:dyDescent="0.25">
      <c r="A657" s="22">
        <v>4142</v>
      </c>
      <c r="B657" s="3">
        <v>33264</v>
      </c>
      <c r="C657" s="3">
        <v>44114</v>
      </c>
      <c r="D657" s="2">
        <f t="shared" si="21"/>
        <v>29</v>
      </c>
      <c r="E657" s="4" t="str" cm="1">
        <f t="array" ref="E657">_xlfn.IFS(
D657&lt;=5,"Newcomer",
D657&lt;=10,"Proficient",
D657&gt;10,"Expert"
)</f>
        <v>Expert</v>
      </c>
      <c r="F657" s="2" t="s">
        <v>44</v>
      </c>
      <c r="G657" s="5" t="s">
        <v>42</v>
      </c>
      <c r="H657" s="5" t="s">
        <v>105</v>
      </c>
      <c r="I657" s="2">
        <v>18</v>
      </c>
      <c r="J657" s="2" t="s">
        <v>24</v>
      </c>
      <c r="K657" s="2" t="s">
        <v>25</v>
      </c>
      <c r="L657" s="2" t="s">
        <v>96</v>
      </c>
      <c r="M657" s="4" t="str">
        <f t="shared" si="20"/>
        <v>Involuntary</v>
      </c>
      <c r="N657" s="23" t="s">
        <v>26</v>
      </c>
    </row>
    <row r="658" spans="1:14" x14ac:dyDescent="0.25">
      <c r="A658" s="22">
        <v>4143</v>
      </c>
      <c r="B658" s="3">
        <v>41521</v>
      </c>
      <c r="C658" s="3">
        <v>43950</v>
      </c>
      <c r="D658" s="2">
        <f t="shared" si="21"/>
        <v>7</v>
      </c>
      <c r="E658" s="4" t="str" cm="1">
        <f t="array" ref="E658">_xlfn.IFS(
D658&lt;=5,"Newcomer",
D658&lt;=10,"Proficient",
D658&gt;10,"Expert"
)</f>
        <v>Proficient</v>
      </c>
      <c r="F658" s="2" t="s">
        <v>44</v>
      </c>
      <c r="G658" s="5" t="s">
        <v>42</v>
      </c>
      <c r="H658" s="5" t="s">
        <v>105</v>
      </c>
      <c r="I658" s="2">
        <v>18</v>
      </c>
      <c r="J658" s="2" t="s">
        <v>24</v>
      </c>
      <c r="K658" s="2" t="s">
        <v>25</v>
      </c>
      <c r="L658" s="2" t="s">
        <v>96</v>
      </c>
      <c r="M658" s="4" t="str">
        <f t="shared" si="20"/>
        <v>Involuntary</v>
      </c>
      <c r="N658" s="23" t="s">
        <v>26</v>
      </c>
    </row>
    <row r="659" spans="1:14" x14ac:dyDescent="0.25">
      <c r="A659" s="22">
        <v>4146</v>
      </c>
      <c r="B659" s="3">
        <v>36224</v>
      </c>
      <c r="C659" s="3">
        <v>44021</v>
      </c>
      <c r="D659" s="2">
        <f t="shared" si="21"/>
        <v>21</v>
      </c>
      <c r="E659" s="4" t="str" cm="1">
        <f t="array" ref="E659">_xlfn.IFS(
D659&lt;=5,"Newcomer",
D659&lt;=10,"Proficient",
D659&gt;10,"Expert"
)</f>
        <v>Expert</v>
      </c>
      <c r="F659" s="2" t="s">
        <v>90</v>
      </c>
      <c r="G659" s="5" t="s">
        <v>42</v>
      </c>
      <c r="H659" s="5" t="s">
        <v>105</v>
      </c>
      <c r="I659" s="2">
        <v>26</v>
      </c>
      <c r="J659" s="2" t="s">
        <v>17</v>
      </c>
      <c r="K659" s="2" t="s">
        <v>18</v>
      </c>
      <c r="L659" s="2" t="s">
        <v>96</v>
      </c>
      <c r="M659" s="4" t="str">
        <f t="shared" si="20"/>
        <v>Involuntary</v>
      </c>
      <c r="N659" s="23" t="s">
        <v>26</v>
      </c>
    </row>
    <row r="660" spans="1:14" x14ac:dyDescent="0.25">
      <c r="A660" s="22">
        <v>4149</v>
      </c>
      <c r="B660" s="3">
        <v>35546</v>
      </c>
      <c r="C660" s="3">
        <v>44144</v>
      </c>
      <c r="D660" s="2">
        <f t="shared" si="21"/>
        <v>23</v>
      </c>
      <c r="E660" s="4" t="str" cm="1">
        <f t="array" ref="E660">_xlfn.IFS(
D660&lt;=5,"Newcomer",
D660&lt;=10,"Proficient",
D660&gt;10,"Expert"
)</f>
        <v>Expert</v>
      </c>
      <c r="F660" s="2" t="s">
        <v>81</v>
      </c>
      <c r="G660" s="5" t="s">
        <v>42</v>
      </c>
      <c r="H660" s="5" t="s">
        <v>105</v>
      </c>
      <c r="I660" s="2">
        <v>5</v>
      </c>
      <c r="J660" s="2" t="s">
        <v>17</v>
      </c>
      <c r="K660" s="2" t="s">
        <v>18</v>
      </c>
      <c r="L660" s="2" t="s">
        <v>96</v>
      </c>
      <c r="M660" s="4" t="str">
        <f t="shared" si="20"/>
        <v>Involuntary</v>
      </c>
      <c r="N660" s="23" t="s">
        <v>26</v>
      </c>
    </row>
    <row r="661" spans="1:14" x14ac:dyDescent="0.25">
      <c r="A661" s="22">
        <v>4150</v>
      </c>
      <c r="B661" s="3">
        <v>39950</v>
      </c>
      <c r="C661" s="3">
        <v>43848</v>
      </c>
      <c r="D661" s="2">
        <f t="shared" si="21"/>
        <v>11</v>
      </c>
      <c r="E661" s="4" t="str" cm="1">
        <f t="array" ref="E661">_xlfn.IFS(
D661&lt;=5,"Newcomer",
D661&lt;=10,"Proficient",
D661&gt;10,"Expert"
)</f>
        <v>Expert</v>
      </c>
      <c r="F661" s="2" t="s">
        <v>30</v>
      </c>
      <c r="G661" s="5" t="s">
        <v>42</v>
      </c>
      <c r="H661" s="5" t="s">
        <v>105</v>
      </c>
      <c r="I661" s="2">
        <v>37</v>
      </c>
      <c r="J661" s="2" t="s">
        <v>17</v>
      </c>
      <c r="K661" s="2" t="s">
        <v>18</v>
      </c>
      <c r="L661" s="2" t="s">
        <v>96</v>
      </c>
      <c r="M661" s="4" t="str">
        <f t="shared" si="20"/>
        <v>Involuntary</v>
      </c>
      <c r="N661" s="23" t="s">
        <v>26</v>
      </c>
    </row>
    <row r="662" spans="1:14" x14ac:dyDescent="0.25">
      <c r="A662" s="22">
        <v>4157</v>
      </c>
      <c r="B662" s="3">
        <v>40995</v>
      </c>
      <c r="C662" s="3">
        <v>44128</v>
      </c>
      <c r="D662" s="2">
        <f t="shared" si="21"/>
        <v>8</v>
      </c>
      <c r="E662" s="4" t="str" cm="1">
        <f t="array" ref="E662">_xlfn.IFS(
D662&lt;=5,"Newcomer",
D662&lt;=10,"Proficient",
D662&gt;10,"Expert"
)</f>
        <v>Proficient</v>
      </c>
      <c r="F662" s="2" t="s">
        <v>53</v>
      </c>
      <c r="G662" s="5" t="s">
        <v>42</v>
      </c>
      <c r="H662" s="5" t="s">
        <v>105</v>
      </c>
      <c r="I662" s="2">
        <v>31</v>
      </c>
      <c r="J662" s="2" t="s">
        <v>17</v>
      </c>
      <c r="K662" s="2" t="s">
        <v>18</v>
      </c>
      <c r="L662" s="2" t="s">
        <v>96</v>
      </c>
      <c r="M662" s="4" t="str">
        <f t="shared" si="20"/>
        <v>Involuntary</v>
      </c>
      <c r="N662" s="23" t="s">
        <v>26</v>
      </c>
    </row>
    <row r="663" spans="1:14" x14ac:dyDescent="0.25">
      <c r="A663" s="22">
        <v>4158</v>
      </c>
      <c r="B663" s="3">
        <v>41169</v>
      </c>
      <c r="C663" s="3">
        <v>43944</v>
      </c>
      <c r="D663" s="2">
        <f t="shared" si="21"/>
        <v>8</v>
      </c>
      <c r="E663" s="4" t="str" cm="1">
        <f t="array" ref="E663">_xlfn.IFS(
D663&lt;=5,"Newcomer",
D663&lt;=10,"Proficient",
D663&gt;10,"Expert"
)</f>
        <v>Proficient</v>
      </c>
      <c r="F663" s="2" t="s">
        <v>30</v>
      </c>
      <c r="G663" s="5" t="s">
        <v>42</v>
      </c>
      <c r="H663" s="5" t="s">
        <v>105</v>
      </c>
      <c r="I663" s="2">
        <v>37</v>
      </c>
      <c r="J663" s="2" t="s">
        <v>17</v>
      </c>
      <c r="K663" s="2" t="s">
        <v>18</v>
      </c>
      <c r="L663" s="2" t="s">
        <v>96</v>
      </c>
      <c r="M663" s="4" t="str">
        <f t="shared" si="20"/>
        <v>Involuntary</v>
      </c>
      <c r="N663" s="23" t="s">
        <v>26</v>
      </c>
    </row>
    <row r="664" spans="1:14" x14ac:dyDescent="0.25">
      <c r="A664" s="22">
        <v>4159</v>
      </c>
      <c r="B664" s="3">
        <v>41659</v>
      </c>
      <c r="C664" s="3">
        <v>44175</v>
      </c>
      <c r="D664" s="2">
        <f t="shared" si="21"/>
        <v>6</v>
      </c>
      <c r="E664" s="4" t="str" cm="1">
        <f t="array" ref="E664">_xlfn.IFS(
D664&lt;=5,"Newcomer",
D664&lt;=10,"Proficient",
D664&gt;10,"Expert"
)</f>
        <v>Proficient</v>
      </c>
      <c r="F664" s="2" t="s">
        <v>53</v>
      </c>
      <c r="G664" s="5" t="s">
        <v>42</v>
      </c>
      <c r="H664" s="5" t="s">
        <v>105</v>
      </c>
      <c r="I664" s="2">
        <v>31</v>
      </c>
      <c r="J664" s="2" t="s">
        <v>24</v>
      </c>
      <c r="K664" s="2" t="s">
        <v>25</v>
      </c>
      <c r="L664" s="2" t="s">
        <v>96</v>
      </c>
      <c r="M664" s="4" t="str">
        <f t="shared" si="20"/>
        <v>Involuntary</v>
      </c>
      <c r="N664" s="23" t="s">
        <v>26</v>
      </c>
    </row>
    <row r="665" spans="1:14" x14ac:dyDescent="0.25">
      <c r="A665" s="22">
        <v>4162</v>
      </c>
      <c r="B665" s="3">
        <v>40008</v>
      </c>
      <c r="C665" s="3">
        <v>44147</v>
      </c>
      <c r="D665" s="2">
        <f t="shared" si="21"/>
        <v>11</v>
      </c>
      <c r="E665" s="4" t="str" cm="1">
        <f t="array" ref="E665">_xlfn.IFS(
D665&lt;=5,"Newcomer",
D665&lt;=10,"Proficient",
D665&gt;10,"Expert"
)</f>
        <v>Expert</v>
      </c>
      <c r="F665" s="2" t="s">
        <v>66</v>
      </c>
      <c r="G665" s="5" t="s">
        <v>42</v>
      </c>
      <c r="H665" s="5" t="s">
        <v>105</v>
      </c>
      <c r="I665" s="2">
        <v>36</v>
      </c>
      <c r="J665" s="2" t="s">
        <v>17</v>
      </c>
      <c r="K665" s="2" t="s">
        <v>18</v>
      </c>
      <c r="L665" s="2" t="s">
        <v>96</v>
      </c>
      <c r="M665" s="4" t="str">
        <f t="shared" si="20"/>
        <v>Involuntary</v>
      </c>
      <c r="N665" s="23" t="s">
        <v>26</v>
      </c>
    </row>
    <row r="666" spans="1:14" x14ac:dyDescent="0.25">
      <c r="A666" s="22">
        <v>4166</v>
      </c>
      <c r="B666" s="3">
        <v>37105</v>
      </c>
      <c r="C666" s="3">
        <v>44183</v>
      </c>
      <c r="D666" s="2">
        <f t="shared" si="21"/>
        <v>19</v>
      </c>
      <c r="E666" s="4" t="str" cm="1">
        <f t="array" ref="E666">_xlfn.IFS(
D666&lt;=5,"Newcomer",
D666&lt;=10,"Proficient",
D666&gt;10,"Expert"
)</f>
        <v>Expert</v>
      </c>
      <c r="F666" s="2" t="s">
        <v>27</v>
      </c>
      <c r="G666" s="5" t="s">
        <v>42</v>
      </c>
      <c r="H666" s="5" t="s">
        <v>105</v>
      </c>
      <c r="I666" s="2">
        <v>16</v>
      </c>
      <c r="J666" s="2" t="s">
        <v>17</v>
      </c>
      <c r="K666" s="2" t="s">
        <v>18</v>
      </c>
      <c r="L666" s="2" t="s">
        <v>50</v>
      </c>
      <c r="M666" s="4" t="str">
        <f t="shared" si="20"/>
        <v>Voluntary</v>
      </c>
      <c r="N666" s="23" t="s">
        <v>26</v>
      </c>
    </row>
    <row r="667" spans="1:14" x14ac:dyDescent="0.25">
      <c r="A667" s="22">
        <v>4169</v>
      </c>
      <c r="B667" s="3">
        <v>39546</v>
      </c>
      <c r="C667" s="3">
        <v>44163</v>
      </c>
      <c r="D667" s="2">
        <f t="shared" si="21"/>
        <v>12</v>
      </c>
      <c r="E667" s="4" t="str" cm="1">
        <f t="array" ref="E667">_xlfn.IFS(
D667&lt;=5,"Newcomer",
D667&lt;=10,"Proficient",
D667&gt;10,"Expert"
)</f>
        <v>Expert</v>
      </c>
      <c r="F667" s="2" t="s">
        <v>108</v>
      </c>
      <c r="G667" s="5" t="s">
        <v>47</v>
      </c>
      <c r="H667" s="5" t="s">
        <v>95</v>
      </c>
      <c r="I667" s="2">
        <v>14</v>
      </c>
      <c r="J667" s="2" t="s">
        <v>17</v>
      </c>
      <c r="K667" s="2" t="s">
        <v>18</v>
      </c>
      <c r="L667" s="2" t="s">
        <v>96</v>
      </c>
      <c r="M667" s="4" t="str">
        <f t="shared" si="20"/>
        <v>Involuntary</v>
      </c>
      <c r="N667" s="23" t="s">
        <v>26</v>
      </c>
    </row>
    <row r="668" spans="1:14" x14ac:dyDescent="0.25">
      <c r="A668" s="22">
        <v>4175</v>
      </c>
      <c r="B668" s="3">
        <v>35960</v>
      </c>
      <c r="C668" s="3">
        <v>43922</v>
      </c>
      <c r="D668" s="2">
        <f t="shared" si="21"/>
        <v>22</v>
      </c>
      <c r="E668" s="4" t="str" cm="1">
        <f t="array" ref="E668">_xlfn.IFS(
D668&lt;=5,"Newcomer",
D668&lt;=10,"Proficient",
D668&gt;10,"Expert"
)</f>
        <v>Expert</v>
      </c>
      <c r="F668" s="2" t="s">
        <v>78</v>
      </c>
      <c r="G668" s="5" t="s">
        <v>42</v>
      </c>
      <c r="H668" s="5" t="s">
        <v>105</v>
      </c>
      <c r="I668" s="2">
        <v>21</v>
      </c>
      <c r="J668" s="2" t="s">
        <v>17</v>
      </c>
      <c r="K668" s="2" t="s">
        <v>18</v>
      </c>
      <c r="L668" s="2" t="s">
        <v>96</v>
      </c>
      <c r="M668" s="4" t="str">
        <f t="shared" si="20"/>
        <v>Involuntary</v>
      </c>
      <c r="N668" s="23" t="s">
        <v>26</v>
      </c>
    </row>
    <row r="669" spans="1:14" x14ac:dyDescent="0.25">
      <c r="A669" s="22">
        <v>4176</v>
      </c>
      <c r="B669" s="3">
        <v>33297</v>
      </c>
      <c r="C669" s="3">
        <v>44187</v>
      </c>
      <c r="D669" s="2">
        <f t="shared" si="21"/>
        <v>29</v>
      </c>
      <c r="E669" s="4" t="str" cm="1">
        <f t="array" ref="E669">_xlfn.IFS(
D669&lt;=5,"Newcomer",
D669&lt;=10,"Proficient",
D669&gt;10,"Expert"
)</f>
        <v>Expert</v>
      </c>
      <c r="F669" s="2" t="s">
        <v>100</v>
      </c>
      <c r="G669" s="5" t="s">
        <v>62</v>
      </c>
      <c r="H669" s="5" t="s">
        <v>63</v>
      </c>
      <c r="I669" s="2">
        <v>13</v>
      </c>
      <c r="J669" s="2" t="s">
        <v>17</v>
      </c>
      <c r="K669" s="2" t="s">
        <v>18</v>
      </c>
      <c r="L669" s="2" t="s">
        <v>96</v>
      </c>
      <c r="M669" s="4" t="str">
        <f t="shared" si="20"/>
        <v>Involuntary</v>
      </c>
      <c r="N669" s="23" t="s">
        <v>26</v>
      </c>
    </row>
    <row r="670" spans="1:14" x14ac:dyDescent="0.25">
      <c r="A670" s="22">
        <v>4179</v>
      </c>
      <c r="B670" s="3">
        <v>41667</v>
      </c>
      <c r="C670" s="3">
        <v>44058</v>
      </c>
      <c r="D670" s="2">
        <f t="shared" si="21"/>
        <v>6</v>
      </c>
      <c r="E670" s="4" t="str" cm="1">
        <f t="array" ref="E670">_xlfn.IFS(
D670&lt;=5,"Newcomer",
D670&lt;=10,"Proficient",
D670&gt;10,"Expert"
)</f>
        <v>Proficient</v>
      </c>
      <c r="F670" s="2" t="s">
        <v>115</v>
      </c>
      <c r="G670" s="5" t="s">
        <v>42</v>
      </c>
      <c r="H670" s="5" t="s">
        <v>105</v>
      </c>
      <c r="I670" s="2">
        <v>17</v>
      </c>
      <c r="J670" s="2" t="s">
        <v>17</v>
      </c>
      <c r="K670" s="2" t="s">
        <v>18</v>
      </c>
      <c r="L670" s="2" t="s">
        <v>96</v>
      </c>
      <c r="M670" s="4" t="str">
        <f t="shared" si="20"/>
        <v>Involuntary</v>
      </c>
      <c r="N670" s="23" t="s">
        <v>26</v>
      </c>
    </row>
    <row r="671" spans="1:14" x14ac:dyDescent="0.25">
      <c r="A671" s="22">
        <v>4182</v>
      </c>
      <c r="B671" s="3">
        <v>32984</v>
      </c>
      <c r="C671" s="3">
        <v>44194</v>
      </c>
      <c r="D671" s="2">
        <f t="shared" si="21"/>
        <v>30</v>
      </c>
      <c r="E671" s="4" t="str" cm="1">
        <f t="array" ref="E671">_xlfn.IFS(
D671&lt;=5,"Newcomer",
D671&lt;=10,"Proficient",
D671&gt;10,"Expert"
)</f>
        <v>Expert</v>
      </c>
      <c r="F671" s="2" t="s">
        <v>78</v>
      </c>
      <c r="G671" s="5" t="s">
        <v>42</v>
      </c>
      <c r="H671" s="5" t="s">
        <v>105</v>
      </c>
      <c r="I671" s="2">
        <v>21</v>
      </c>
      <c r="J671" s="2" t="s">
        <v>17</v>
      </c>
      <c r="K671" s="2" t="s">
        <v>18</v>
      </c>
      <c r="L671" s="2" t="s">
        <v>96</v>
      </c>
      <c r="M671" s="4" t="str">
        <f t="shared" si="20"/>
        <v>Involuntary</v>
      </c>
      <c r="N671" s="23" t="s">
        <v>26</v>
      </c>
    </row>
    <row r="672" spans="1:14" x14ac:dyDescent="0.25">
      <c r="A672" s="22">
        <v>4183</v>
      </c>
      <c r="B672" s="3">
        <v>33438</v>
      </c>
      <c r="C672" s="3">
        <v>44061</v>
      </c>
      <c r="D672" s="2">
        <f t="shared" si="21"/>
        <v>29</v>
      </c>
      <c r="E672" s="4" t="str" cm="1">
        <f t="array" ref="E672">_xlfn.IFS(
D672&lt;=5,"Newcomer",
D672&lt;=10,"Proficient",
D672&gt;10,"Expert"
)</f>
        <v>Expert</v>
      </c>
      <c r="F672" s="2" t="s">
        <v>30</v>
      </c>
      <c r="G672" s="5" t="s">
        <v>71</v>
      </c>
      <c r="H672" s="5" t="s">
        <v>116</v>
      </c>
      <c r="I672" s="2">
        <v>46</v>
      </c>
      <c r="J672" s="2" t="s">
        <v>17</v>
      </c>
      <c r="K672" s="2" t="s">
        <v>18</v>
      </c>
      <c r="L672" s="2" t="s">
        <v>50</v>
      </c>
      <c r="M672" s="4" t="str">
        <f t="shared" si="20"/>
        <v>Voluntary</v>
      </c>
      <c r="N672" s="23" t="s">
        <v>26</v>
      </c>
    </row>
    <row r="673" spans="1:14" x14ac:dyDescent="0.25">
      <c r="A673" s="22">
        <v>4199</v>
      </c>
      <c r="B673" s="3">
        <v>38525</v>
      </c>
      <c r="C673" s="3">
        <v>44097</v>
      </c>
      <c r="D673" s="2">
        <f t="shared" si="21"/>
        <v>15</v>
      </c>
      <c r="E673" s="4" t="str" cm="1">
        <f t="array" ref="E673">_xlfn.IFS(
D673&lt;=5,"Newcomer",
D673&lt;=10,"Proficient",
D673&gt;10,"Expert"
)</f>
        <v>Expert</v>
      </c>
      <c r="F673" s="2" t="s">
        <v>49</v>
      </c>
      <c r="G673" s="5" t="s">
        <v>42</v>
      </c>
      <c r="H673" s="5" t="s">
        <v>105</v>
      </c>
      <c r="I673" s="2">
        <v>12</v>
      </c>
      <c r="J673" s="2" t="s">
        <v>17</v>
      </c>
      <c r="K673" s="2" t="s">
        <v>18</v>
      </c>
      <c r="L673" s="2" t="s">
        <v>96</v>
      </c>
      <c r="M673" s="4" t="str">
        <f t="shared" si="20"/>
        <v>Involuntary</v>
      </c>
      <c r="N673" s="23" t="s">
        <v>26</v>
      </c>
    </row>
    <row r="674" spans="1:14" x14ac:dyDescent="0.25">
      <c r="A674" s="22">
        <v>4203</v>
      </c>
      <c r="B674" s="3">
        <v>37346</v>
      </c>
      <c r="C674" s="3">
        <v>44173</v>
      </c>
      <c r="D674" s="2">
        <f t="shared" si="21"/>
        <v>18</v>
      </c>
      <c r="E674" s="4" t="str" cm="1">
        <f t="array" ref="E674">_xlfn.IFS(
D674&lt;=5,"Newcomer",
D674&lt;=10,"Proficient",
D674&gt;10,"Expert"
)</f>
        <v>Expert</v>
      </c>
      <c r="F674" s="2" t="s">
        <v>114</v>
      </c>
      <c r="G674" s="5" t="s">
        <v>42</v>
      </c>
      <c r="H674" s="5" t="s">
        <v>105</v>
      </c>
      <c r="I674" s="2">
        <v>27</v>
      </c>
      <c r="J674" s="2" t="s">
        <v>17</v>
      </c>
      <c r="K674" s="2" t="s">
        <v>18</v>
      </c>
      <c r="L674" s="2" t="s">
        <v>96</v>
      </c>
      <c r="M674" s="4" t="str">
        <f t="shared" si="20"/>
        <v>Involuntary</v>
      </c>
      <c r="N674" s="23" t="s">
        <v>26</v>
      </c>
    </row>
    <row r="675" spans="1:14" x14ac:dyDescent="0.25">
      <c r="A675" s="22">
        <v>4210</v>
      </c>
      <c r="B675" s="3">
        <v>37056</v>
      </c>
      <c r="C675" s="3">
        <v>43946</v>
      </c>
      <c r="D675" s="2">
        <f t="shared" si="21"/>
        <v>19</v>
      </c>
      <c r="E675" s="4" t="str" cm="1">
        <f t="array" ref="E675">_xlfn.IFS(
D675&lt;=5,"Newcomer",
D675&lt;=10,"Proficient",
D675&gt;10,"Expert"
)</f>
        <v>Expert</v>
      </c>
      <c r="F675" s="2" t="s">
        <v>69</v>
      </c>
      <c r="G675" s="5" t="s">
        <v>35</v>
      </c>
      <c r="H675" s="5" t="s">
        <v>76</v>
      </c>
      <c r="I675" s="2">
        <v>28</v>
      </c>
      <c r="J675" s="2" t="s">
        <v>17</v>
      </c>
      <c r="K675" s="2" t="s">
        <v>18</v>
      </c>
      <c r="L675" s="2" t="s">
        <v>96</v>
      </c>
      <c r="M675" s="4" t="str">
        <f t="shared" si="20"/>
        <v>Involuntary</v>
      </c>
      <c r="N675" s="23" t="s">
        <v>26</v>
      </c>
    </row>
    <row r="676" spans="1:14" x14ac:dyDescent="0.25">
      <c r="A676" s="22">
        <v>4212</v>
      </c>
      <c r="B676" s="3">
        <v>36356</v>
      </c>
      <c r="C676" s="3">
        <v>44157</v>
      </c>
      <c r="D676" s="2">
        <f t="shared" si="21"/>
        <v>21</v>
      </c>
      <c r="E676" s="4" t="str" cm="1">
        <f t="array" ref="E676">_xlfn.IFS(
D676&lt;=5,"Newcomer",
D676&lt;=10,"Proficient",
D676&gt;10,"Expert"
)</f>
        <v>Expert</v>
      </c>
      <c r="F676" s="2" t="s">
        <v>69</v>
      </c>
      <c r="G676" s="5" t="s">
        <v>35</v>
      </c>
      <c r="H676" s="5" t="s">
        <v>76</v>
      </c>
      <c r="I676" s="2">
        <v>28</v>
      </c>
      <c r="J676" s="2" t="s">
        <v>17</v>
      </c>
      <c r="K676" s="2" t="s">
        <v>18</v>
      </c>
      <c r="L676" s="2" t="s">
        <v>96</v>
      </c>
      <c r="M676" s="4" t="str">
        <f t="shared" si="20"/>
        <v>Involuntary</v>
      </c>
      <c r="N676" s="23" t="s">
        <v>26</v>
      </c>
    </row>
    <row r="677" spans="1:14" x14ac:dyDescent="0.25">
      <c r="A677" s="22">
        <v>4215</v>
      </c>
      <c r="B677" s="3">
        <v>33931</v>
      </c>
      <c r="C677" s="3">
        <v>43860</v>
      </c>
      <c r="D677" s="2">
        <f t="shared" si="21"/>
        <v>28</v>
      </c>
      <c r="E677" s="4" t="str" cm="1">
        <f t="array" ref="E677">_xlfn.IFS(
D677&lt;=5,"Newcomer",
D677&lt;=10,"Proficient",
D677&gt;10,"Expert"
)</f>
        <v>Expert</v>
      </c>
      <c r="F677" s="2" t="s">
        <v>103</v>
      </c>
      <c r="G677" s="5" t="s">
        <v>42</v>
      </c>
      <c r="H677" s="5" t="s">
        <v>105</v>
      </c>
      <c r="I677" s="2">
        <v>2</v>
      </c>
      <c r="J677" s="2" t="s">
        <v>17</v>
      </c>
      <c r="K677" s="2" t="s">
        <v>18</v>
      </c>
      <c r="L677" s="2" t="s">
        <v>96</v>
      </c>
      <c r="M677" s="4" t="str">
        <f t="shared" si="20"/>
        <v>Involuntary</v>
      </c>
      <c r="N677" s="23" t="s">
        <v>26</v>
      </c>
    </row>
    <row r="678" spans="1:14" x14ac:dyDescent="0.25">
      <c r="A678" s="22">
        <v>4221</v>
      </c>
      <c r="B678" s="3">
        <v>35895</v>
      </c>
      <c r="C678" s="3">
        <v>43869</v>
      </c>
      <c r="D678" s="2">
        <f t="shared" si="21"/>
        <v>22</v>
      </c>
      <c r="E678" s="4" t="str" cm="1">
        <f t="array" ref="E678">_xlfn.IFS(
D678&lt;=5,"Newcomer",
D678&lt;=10,"Proficient",
D678&gt;10,"Expert"
)</f>
        <v>Expert</v>
      </c>
      <c r="F678" s="2" t="s">
        <v>81</v>
      </c>
      <c r="G678" s="5" t="s">
        <v>42</v>
      </c>
      <c r="H678" s="5" t="s">
        <v>105</v>
      </c>
      <c r="I678" s="2">
        <v>5</v>
      </c>
      <c r="J678" s="2" t="s">
        <v>24</v>
      </c>
      <c r="K678" s="2" t="s">
        <v>25</v>
      </c>
      <c r="L678" s="2" t="s">
        <v>96</v>
      </c>
      <c r="M678" s="4" t="str">
        <f t="shared" si="20"/>
        <v>Involuntary</v>
      </c>
      <c r="N678" s="23" t="s">
        <v>26</v>
      </c>
    </row>
    <row r="679" spans="1:14" x14ac:dyDescent="0.25">
      <c r="A679" s="22">
        <v>4223</v>
      </c>
      <c r="B679" s="3">
        <v>37808</v>
      </c>
      <c r="C679" s="3">
        <v>44139</v>
      </c>
      <c r="D679" s="2">
        <f t="shared" si="21"/>
        <v>17</v>
      </c>
      <c r="E679" s="4" t="str" cm="1">
        <f t="array" ref="E679">_xlfn.IFS(
D679&lt;=5,"Newcomer",
D679&lt;=10,"Proficient",
D679&gt;10,"Expert"
)</f>
        <v>Expert</v>
      </c>
      <c r="F679" s="2" t="s">
        <v>14</v>
      </c>
      <c r="G679" s="5" t="s">
        <v>35</v>
      </c>
      <c r="H679" s="5" t="s">
        <v>76</v>
      </c>
      <c r="I679" s="2">
        <v>35</v>
      </c>
      <c r="J679" s="2" t="s">
        <v>24</v>
      </c>
      <c r="K679" s="2" t="s">
        <v>25</v>
      </c>
      <c r="L679" s="2" t="s">
        <v>96</v>
      </c>
      <c r="M679" s="4" t="str">
        <f t="shared" si="20"/>
        <v>Involuntary</v>
      </c>
      <c r="N679" s="23" t="s">
        <v>26</v>
      </c>
    </row>
    <row r="680" spans="1:14" x14ac:dyDescent="0.25">
      <c r="A680" s="22">
        <v>4230</v>
      </c>
      <c r="B680" s="3">
        <v>38369</v>
      </c>
      <c r="C680" s="3">
        <v>43862</v>
      </c>
      <c r="D680" s="2">
        <f t="shared" si="21"/>
        <v>15</v>
      </c>
      <c r="E680" s="4" t="str" cm="1">
        <f t="array" ref="E680">_xlfn.IFS(
D680&lt;=5,"Newcomer",
D680&lt;=10,"Proficient",
D680&gt;10,"Expert"
)</f>
        <v>Expert</v>
      </c>
      <c r="F680" s="2" t="s">
        <v>49</v>
      </c>
      <c r="G680" s="5" t="s">
        <v>42</v>
      </c>
      <c r="H680" s="5" t="s">
        <v>105</v>
      </c>
      <c r="I680" s="2">
        <v>12</v>
      </c>
      <c r="J680" s="2" t="s">
        <v>17</v>
      </c>
      <c r="K680" s="2" t="s">
        <v>18</v>
      </c>
      <c r="L680" s="2" t="s">
        <v>96</v>
      </c>
      <c r="M680" s="4" t="str">
        <f t="shared" si="20"/>
        <v>Involuntary</v>
      </c>
      <c r="N680" s="23" t="s">
        <v>26</v>
      </c>
    </row>
    <row r="681" spans="1:14" x14ac:dyDescent="0.25">
      <c r="A681" s="22">
        <v>4232</v>
      </c>
      <c r="B681" s="3">
        <v>41496</v>
      </c>
      <c r="C681" s="3">
        <v>44119</v>
      </c>
      <c r="D681" s="2">
        <f t="shared" si="21"/>
        <v>7</v>
      </c>
      <c r="E681" s="4" t="str" cm="1">
        <f t="array" ref="E681">_xlfn.IFS(
D681&lt;=5,"Newcomer",
D681&lt;=10,"Proficient",
D681&gt;10,"Expert"
)</f>
        <v>Proficient</v>
      </c>
      <c r="F681" s="2" t="s">
        <v>14</v>
      </c>
      <c r="G681" s="5" t="s">
        <v>35</v>
      </c>
      <c r="H681" s="5" t="s">
        <v>76</v>
      </c>
      <c r="I681" s="2">
        <v>35</v>
      </c>
      <c r="J681" s="2" t="s">
        <v>24</v>
      </c>
      <c r="K681" s="2" t="s">
        <v>25</v>
      </c>
      <c r="L681" s="2" t="s">
        <v>96</v>
      </c>
      <c r="M681" s="4" t="str">
        <f t="shared" si="20"/>
        <v>Involuntary</v>
      </c>
      <c r="N681" s="23" t="s">
        <v>26</v>
      </c>
    </row>
    <row r="682" spans="1:14" x14ac:dyDescent="0.25">
      <c r="A682" s="22">
        <v>4234</v>
      </c>
      <c r="B682" s="3">
        <v>38466</v>
      </c>
      <c r="C682" s="3">
        <v>43855</v>
      </c>
      <c r="D682" s="2">
        <f t="shared" si="21"/>
        <v>15</v>
      </c>
      <c r="E682" s="4" t="str" cm="1">
        <f t="array" ref="E682">_xlfn.IFS(
D682&lt;=5,"Newcomer",
D682&lt;=10,"Proficient",
D682&gt;10,"Expert"
)</f>
        <v>Expert</v>
      </c>
      <c r="F682" s="2" t="s">
        <v>14</v>
      </c>
      <c r="G682" s="5" t="s">
        <v>35</v>
      </c>
      <c r="H682" s="5" t="s">
        <v>76</v>
      </c>
      <c r="I682" s="2">
        <v>35</v>
      </c>
      <c r="J682" s="2" t="s">
        <v>24</v>
      </c>
      <c r="K682" s="2" t="s">
        <v>25</v>
      </c>
      <c r="L682" s="2" t="s">
        <v>96</v>
      </c>
      <c r="M682" s="4" t="str">
        <f t="shared" si="20"/>
        <v>Involuntary</v>
      </c>
      <c r="N682" s="23" t="s">
        <v>26</v>
      </c>
    </row>
    <row r="683" spans="1:14" x14ac:dyDescent="0.25">
      <c r="A683" s="22">
        <v>4235</v>
      </c>
      <c r="B683" s="3">
        <v>34594</v>
      </c>
      <c r="C683" s="3">
        <v>43851</v>
      </c>
      <c r="D683" s="2">
        <f t="shared" si="21"/>
        <v>26</v>
      </c>
      <c r="E683" s="4" t="str" cm="1">
        <f t="array" ref="E683">_xlfn.IFS(
D683&lt;=5,"Newcomer",
D683&lt;=10,"Proficient",
D683&gt;10,"Expert"
)</f>
        <v>Expert</v>
      </c>
      <c r="F683" s="2" t="s">
        <v>53</v>
      </c>
      <c r="G683" s="5" t="s">
        <v>42</v>
      </c>
      <c r="H683" s="5" t="s">
        <v>105</v>
      </c>
      <c r="I683" s="2">
        <v>31</v>
      </c>
      <c r="J683" s="2" t="s">
        <v>24</v>
      </c>
      <c r="K683" s="2" t="s">
        <v>25</v>
      </c>
      <c r="L683" s="2" t="s">
        <v>96</v>
      </c>
      <c r="M683" s="4" t="str">
        <f t="shared" si="20"/>
        <v>Involuntary</v>
      </c>
      <c r="N683" s="23" t="s">
        <v>26</v>
      </c>
    </row>
    <row r="684" spans="1:14" x14ac:dyDescent="0.25">
      <c r="A684" s="22">
        <v>4237</v>
      </c>
      <c r="B684" s="3">
        <v>37468</v>
      </c>
      <c r="C684" s="3">
        <v>44009</v>
      </c>
      <c r="D684" s="2">
        <f t="shared" si="21"/>
        <v>18</v>
      </c>
      <c r="E684" s="4" t="str" cm="1">
        <f t="array" ref="E684">_xlfn.IFS(
D684&lt;=5,"Newcomer",
D684&lt;=10,"Proficient",
D684&gt;10,"Expert"
)</f>
        <v>Expert</v>
      </c>
      <c r="F684" s="2" t="s">
        <v>107</v>
      </c>
      <c r="G684" s="5" t="s">
        <v>35</v>
      </c>
      <c r="H684" s="5" t="s">
        <v>76</v>
      </c>
      <c r="I684" s="2">
        <v>11</v>
      </c>
      <c r="J684" s="2" t="s">
        <v>24</v>
      </c>
      <c r="K684" s="2" t="s">
        <v>25</v>
      </c>
      <c r="L684" s="2" t="s">
        <v>96</v>
      </c>
      <c r="M684" s="4" t="str">
        <f t="shared" si="20"/>
        <v>Involuntary</v>
      </c>
      <c r="N684" s="23" t="s">
        <v>26</v>
      </c>
    </row>
    <row r="685" spans="1:14" x14ac:dyDescent="0.25">
      <c r="A685" s="22">
        <v>4238</v>
      </c>
      <c r="B685" s="3">
        <v>35082</v>
      </c>
      <c r="C685" s="3">
        <v>44183</v>
      </c>
      <c r="D685" s="2">
        <f t="shared" si="21"/>
        <v>24</v>
      </c>
      <c r="E685" s="4" t="str" cm="1">
        <f t="array" ref="E685">_xlfn.IFS(
D685&lt;=5,"Newcomer",
D685&lt;=10,"Proficient",
D685&gt;10,"Expert"
)</f>
        <v>Expert</v>
      </c>
      <c r="F685" s="2" t="s">
        <v>14</v>
      </c>
      <c r="G685" s="5" t="s">
        <v>35</v>
      </c>
      <c r="H685" s="5" t="s">
        <v>76</v>
      </c>
      <c r="I685" s="2">
        <v>35</v>
      </c>
      <c r="J685" s="2" t="s">
        <v>17</v>
      </c>
      <c r="K685" s="2" t="s">
        <v>18</v>
      </c>
      <c r="L685" s="2" t="s">
        <v>96</v>
      </c>
      <c r="M685" s="4" t="str">
        <f t="shared" si="20"/>
        <v>Involuntary</v>
      </c>
      <c r="N685" s="23" t="s">
        <v>26</v>
      </c>
    </row>
    <row r="686" spans="1:14" x14ac:dyDescent="0.25">
      <c r="A686" s="22">
        <v>4239</v>
      </c>
      <c r="B686" s="3">
        <v>34234</v>
      </c>
      <c r="C686" s="3">
        <v>44118</v>
      </c>
      <c r="D686" s="2">
        <f t="shared" si="21"/>
        <v>27</v>
      </c>
      <c r="E686" s="4" t="str" cm="1">
        <f t="array" ref="E686">_xlfn.IFS(
D686&lt;=5,"Newcomer",
D686&lt;=10,"Proficient",
D686&gt;10,"Expert"
)</f>
        <v>Expert</v>
      </c>
      <c r="F686" s="2" t="s">
        <v>14</v>
      </c>
      <c r="G686" s="5" t="s">
        <v>47</v>
      </c>
      <c r="H686" s="5" t="s">
        <v>95</v>
      </c>
      <c r="I686" s="2">
        <v>42</v>
      </c>
      <c r="J686" s="2" t="s">
        <v>17</v>
      </c>
      <c r="K686" s="2" t="s">
        <v>18</v>
      </c>
      <c r="L686" s="2" t="s">
        <v>50</v>
      </c>
      <c r="M686" s="4" t="str">
        <f t="shared" si="20"/>
        <v>Voluntary</v>
      </c>
      <c r="N686" s="23" t="s">
        <v>26</v>
      </c>
    </row>
    <row r="687" spans="1:14" x14ac:dyDescent="0.25">
      <c r="A687" s="22">
        <v>4242</v>
      </c>
      <c r="B687" s="3">
        <v>40884</v>
      </c>
      <c r="C687" s="3">
        <v>43955</v>
      </c>
      <c r="D687" s="2">
        <f t="shared" si="21"/>
        <v>9</v>
      </c>
      <c r="E687" s="4" t="str" cm="1">
        <f t="array" ref="E687">_xlfn.IFS(
D687&lt;=5,"Newcomer",
D687&lt;=10,"Proficient",
D687&gt;10,"Expert"
)</f>
        <v>Proficient</v>
      </c>
      <c r="F687" s="2" t="s">
        <v>73</v>
      </c>
      <c r="G687" s="5" t="s">
        <v>47</v>
      </c>
      <c r="H687" s="5" t="s">
        <v>95</v>
      </c>
      <c r="I687" s="2">
        <v>32</v>
      </c>
      <c r="J687" s="2" t="s">
        <v>17</v>
      </c>
      <c r="K687" s="2" t="s">
        <v>18</v>
      </c>
      <c r="L687" s="2" t="s">
        <v>50</v>
      </c>
      <c r="M687" s="4" t="str">
        <f t="shared" si="20"/>
        <v>Voluntary</v>
      </c>
      <c r="N687" s="23" t="s">
        <v>26</v>
      </c>
    </row>
    <row r="688" spans="1:14" x14ac:dyDescent="0.25">
      <c r="A688" s="22">
        <v>4248</v>
      </c>
      <c r="B688" s="3">
        <v>37392</v>
      </c>
      <c r="C688" s="3">
        <v>44161</v>
      </c>
      <c r="D688" s="2">
        <f t="shared" si="21"/>
        <v>18</v>
      </c>
      <c r="E688" s="4" t="str" cm="1">
        <f t="array" ref="E688">_xlfn.IFS(
D688&lt;=5,"Newcomer",
D688&lt;=10,"Proficient",
D688&gt;10,"Expert"
)</f>
        <v>Expert</v>
      </c>
      <c r="F688" s="2" t="s">
        <v>14</v>
      </c>
      <c r="G688" s="5" t="s">
        <v>35</v>
      </c>
      <c r="H688" s="5" t="s">
        <v>76</v>
      </c>
      <c r="I688" s="2">
        <v>35</v>
      </c>
      <c r="J688" s="2" t="s">
        <v>17</v>
      </c>
      <c r="K688" s="2" t="s">
        <v>18</v>
      </c>
      <c r="L688" s="2" t="s">
        <v>96</v>
      </c>
      <c r="M688" s="4" t="str">
        <f t="shared" si="20"/>
        <v>Involuntary</v>
      </c>
      <c r="N688" s="23" t="s">
        <v>26</v>
      </c>
    </row>
    <row r="689" spans="1:14" x14ac:dyDescent="0.25">
      <c r="A689" s="22">
        <v>4250</v>
      </c>
      <c r="B689" s="3">
        <v>33034</v>
      </c>
      <c r="C689" s="3">
        <v>44153</v>
      </c>
      <c r="D689" s="2">
        <f t="shared" si="21"/>
        <v>30</v>
      </c>
      <c r="E689" s="4" t="str" cm="1">
        <f t="array" ref="E689">_xlfn.IFS(
D689&lt;=5,"Newcomer",
D689&lt;=10,"Proficient",
D689&gt;10,"Expert"
)</f>
        <v>Expert</v>
      </c>
      <c r="F689" s="2" t="s">
        <v>78</v>
      </c>
      <c r="G689" s="5" t="s">
        <v>42</v>
      </c>
      <c r="H689" s="5" t="s">
        <v>105</v>
      </c>
      <c r="I689" s="2">
        <v>21</v>
      </c>
      <c r="J689" s="2" t="s">
        <v>24</v>
      </c>
      <c r="K689" s="2" t="s">
        <v>25</v>
      </c>
      <c r="L689" s="2" t="s">
        <v>96</v>
      </c>
      <c r="M689" s="4" t="str">
        <f t="shared" si="20"/>
        <v>Involuntary</v>
      </c>
      <c r="N689" s="23" t="s">
        <v>26</v>
      </c>
    </row>
    <row r="690" spans="1:14" x14ac:dyDescent="0.25">
      <c r="A690" s="22">
        <v>4252</v>
      </c>
      <c r="B690" s="3">
        <v>41369</v>
      </c>
      <c r="C690" s="3">
        <v>44072</v>
      </c>
      <c r="D690" s="2">
        <f t="shared" si="21"/>
        <v>7</v>
      </c>
      <c r="E690" s="4" t="str" cm="1">
        <f t="array" ref="E690">_xlfn.IFS(
D690&lt;=5,"Newcomer",
D690&lt;=10,"Proficient",
D690&gt;10,"Expert"
)</f>
        <v>Proficient</v>
      </c>
      <c r="F690" s="2" t="s">
        <v>108</v>
      </c>
      <c r="G690" s="5" t="s">
        <v>62</v>
      </c>
      <c r="H690" s="5" t="s">
        <v>63</v>
      </c>
      <c r="I690" s="2">
        <v>14</v>
      </c>
      <c r="J690" s="2" t="s">
        <v>24</v>
      </c>
      <c r="K690" s="2" t="s">
        <v>25</v>
      </c>
      <c r="L690" s="2" t="s">
        <v>96</v>
      </c>
      <c r="M690" s="4" t="str">
        <f t="shared" si="20"/>
        <v>Involuntary</v>
      </c>
      <c r="N690" s="23" t="s">
        <v>26</v>
      </c>
    </row>
    <row r="691" spans="1:14" x14ac:dyDescent="0.25">
      <c r="A691" s="22">
        <v>4254</v>
      </c>
      <c r="B691" s="3">
        <v>36097</v>
      </c>
      <c r="C691" s="3">
        <v>43857</v>
      </c>
      <c r="D691" s="2">
        <f t="shared" si="21"/>
        <v>22</v>
      </c>
      <c r="E691" s="4" t="str" cm="1">
        <f t="array" ref="E691">_xlfn.IFS(
D691&lt;=5,"Newcomer",
D691&lt;=10,"Proficient",
D691&gt;10,"Expert"
)</f>
        <v>Expert</v>
      </c>
      <c r="F691" s="2" t="s">
        <v>69</v>
      </c>
      <c r="G691" s="5" t="s">
        <v>35</v>
      </c>
      <c r="H691" s="5" t="s">
        <v>76</v>
      </c>
      <c r="I691" s="2">
        <v>28</v>
      </c>
      <c r="J691" s="2" t="s">
        <v>17</v>
      </c>
      <c r="K691" s="2" t="s">
        <v>18</v>
      </c>
      <c r="L691" s="2" t="s">
        <v>96</v>
      </c>
      <c r="M691" s="4" t="str">
        <f t="shared" si="20"/>
        <v>Involuntary</v>
      </c>
      <c r="N691" s="23" t="s">
        <v>26</v>
      </c>
    </row>
    <row r="692" spans="1:14" x14ac:dyDescent="0.25">
      <c r="A692" s="22">
        <v>4259</v>
      </c>
      <c r="B692" s="3">
        <v>39436</v>
      </c>
      <c r="C692" s="3">
        <v>44026</v>
      </c>
      <c r="D692" s="2">
        <f t="shared" si="21"/>
        <v>13</v>
      </c>
      <c r="E692" s="4" t="str" cm="1">
        <f t="array" ref="E692">_xlfn.IFS(
D692&lt;=5,"Newcomer",
D692&lt;=10,"Proficient",
D692&gt;10,"Expert"
)</f>
        <v>Expert</v>
      </c>
      <c r="F692" s="2" t="s">
        <v>108</v>
      </c>
      <c r="G692" s="5" t="s">
        <v>62</v>
      </c>
      <c r="H692" s="5" t="s">
        <v>63</v>
      </c>
      <c r="I692" s="2">
        <v>14</v>
      </c>
      <c r="J692" s="2" t="s">
        <v>17</v>
      </c>
      <c r="K692" s="2" t="s">
        <v>18</v>
      </c>
      <c r="L692" s="2" t="s">
        <v>96</v>
      </c>
      <c r="M692" s="4" t="str">
        <f t="shared" si="20"/>
        <v>Involuntary</v>
      </c>
      <c r="N692" s="23" t="s">
        <v>26</v>
      </c>
    </row>
    <row r="693" spans="1:14" x14ac:dyDescent="0.25">
      <c r="A693" s="22">
        <v>4262</v>
      </c>
      <c r="B693" s="3">
        <v>39060</v>
      </c>
      <c r="C693" s="3">
        <v>44109</v>
      </c>
      <c r="D693" s="2">
        <f t="shared" si="21"/>
        <v>14</v>
      </c>
      <c r="E693" s="4" t="str" cm="1">
        <f t="array" ref="E693">_xlfn.IFS(
D693&lt;=5,"Newcomer",
D693&lt;=10,"Proficient",
D693&gt;10,"Expert"
)</f>
        <v>Expert</v>
      </c>
      <c r="F693" s="2" t="s">
        <v>30</v>
      </c>
      <c r="G693" s="5" t="s">
        <v>42</v>
      </c>
      <c r="H693" s="5" t="s">
        <v>105</v>
      </c>
      <c r="I693" s="2">
        <v>37</v>
      </c>
      <c r="J693" s="2" t="s">
        <v>17</v>
      </c>
      <c r="K693" s="2" t="s">
        <v>18</v>
      </c>
      <c r="L693" s="2" t="s">
        <v>96</v>
      </c>
      <c r="M693" s="4" t="str">
        <f t="shared" si="20"/>
        <v>Involuntary</v>
      </c>
      <c r="N693" s="23" t="s">
        <v>26</v>
      </c>
    </row>
    <row r="694" spans="1:14" x14ac:dyDescent="0.25">
      <c r="A694" s="22">
        <v>4263</v>
      </c>
      <c r="B694" s="3">
        <v>33954</v>
      </c>
      <c r="C694" s="3">
        <v>43930</v>
      </c>
      <c r="D694" s="2">
        <f t="shared" si="21"/>
        <v>28</v>
      </c>
      <c r="E694" s="4" t="str" cm="1">
        <f t="array" ref="E694">_xlfn.IFS(
D694&lt;=5,"Newcomer",
D694&lt;=10,"Proficient",
D694&gt;10,"Expert"
)</f>
        <v>Expert</v>
      </c>
      <c r="F694" s="2" t="s">
        <v>102</v>
      </c>
      <c r="G694" s="5" t="s">
        <v>47</v>
      </c>
      <c r="H694" s="5" t="s">
        <v>95</v>
      </c>
      <c r="I694" s="2">
        <v>1</v>
      </c>
      <c r="J694" s="2" t="s">
        <v>24</v>
      </c>
      <c r="K694" s="2" t="s">
        <v>25</v>
      </c>
      <c r="L694" s="2" t="s">
        <v>96</v>
      </c>
      <c r="M694" s="4" t="str">
        <f t="shared" si="20"/>
        <v>Involuntary</v>
      </c>
      <c r="N694" s="23" t="s">
        <v>26</v>
      </c>
    </row>
    <row r="695" spans="1:14" x14ac:dyDescent="0.25">
      <c r="A695" s="22">
        <v>4265</v>
      </c>
      <c r="B695" s="3">
        <v>36029</v>
      </c>
      <c r="C695" s="3">
        <v>44171</v>
      </c>
      <c r="D695" s="2">
        <f t="shared" si="21"/>
        <v>22</v>
      </c>
      <c r="E695" s="4" t="str" cm="1">
        <f t="array" ref="E695">_xlfn.IFS(
D695&lt;=5,"Newcomer",
D695&lt;=10,"Proficient",
D695&gt;10,"Expert"
)</f>
        <v>Expert</v>
      </c>
      <c r="F695" s="2" t="s">
        <v>115</v>
      </c>
      <c r="G695" s="5" t="s">
        <v>42</v>
      </c>
      <c r="H695" s="5" t="s">
        <v>105</v>
      </c>
      <c r="I695" s="2">
        <v>17</v>
      </c>
      <c r="J695" s="2" t="s">
        <v>17</v>
      </c>
      <c r="K695" s="2" t="s">
        <v>18</v>
      </c>
      <c r="L695" s="2" t="s">
        <v>96</v>
      </c>
      <c r="M695" s="4" t="str">
        <f t="shared" si="20"/>
        <v>Involuntary</v>
      </c>
      <c r="N695" s="23" t="s">
        <v>26</v>
      </c>
    </row>
    <row r="696" spans="1:14" x14ac:dyDescent="0.25">
      <c r="A696" s="22">
        <v>4271</v>
      </c>
      <c r="B696" s="3">
        <v>41300</v>
      </c>
      <c r="C696" s="3">
        <v>44044</v>
      </c>
      <c r="D696" s="2">
        <f t="shared" si="21"/>
        <v>7</v>
      </c>
      <c r="E696" s="4" t="str" cm="1">
        <f t="array" ref="E696">_xlfn.IFS(
D696&lt;=5,"Newcomer",
D696&lt;=10,"Proficient",
D696&gt;10,"Expert"
)</f>
        <v>Proficient</v>
      </c>
      <c r="F696" s="2" t="s">
        <v>104</v>
      </c>
      <c r="G696" s="5" t="s">
        <v>71</v>
      </c>
      <c r="H696" s="5" t="s">
        <v>116</v>
      </c>
      <c r="I696" s="2">
        <v>39</v>
      </c>
      <c r="J696" s="2" t="s">
        <v>24</v>
      </c>
      <c r="K696" s="2" t="s">
        <v>25</v>
      </c>
      <c r="L696" s="2" t="s">
        <v>96</v>
      </c>
      <c r="M696" s="4" t="str">
        <f t="shared" si="20"/>
        <v>Involuntary</v>
      </c>
      <c r="N696" s="23" t="s">
        <v>26</v>
      </c>
    </row>
    <row r="697" spans="1:14" x14ac:dyDescent="0.25">
      <c r="A697" s="22">
        <v>4272</v>
      </c>
      <c r="B697" s="3">
        <v>33045</v>
      </c>
      <c r="C697" s="3">
        <v>44130</v>
      </c>
      <c r="D697" s="2">
        <f t="shared" si="21"/>
        <v>30</v>
      </c>
      <c r="E697" s="4" t="str" cm="1">
        <f t="array" ref="E697">_xlfn.IFS(
D697&lt;=5,"Newcomer",
D697&lt;=10,"Proficient",
D697&gt;10,"Expert"
)</f>
        <v>Expert</v>
      </c>
      <c r="F697" s="2" t="s">
        <v>70</v>
      </c>
      <c r="G697" s="5" t="s">
        <v>42</v>
      </c>
      <c r="H697" s="5" t="s">
        <v>105</v>
      </c>
      <c r="I697" s="2">
        <v>6</v>
      </c>
      <c r="J697" s="2" t="s">
        <v>24</v>
      </c>
      <c r="K697" s="2" t="s">
        <v>25</v>
      </c>
      <c r="L697" s="2" t="s">
        <v>96</v>
      </c>
      <c r="M697" s="4" t="str">
        <f t="shared" si="20"/>
        <v>Involuntary</v>
      </c>
      <c r="N697" s="23" t="s">
        <v>26</v>
      </c>
    </row>
    <row r="698" spans="1:14" x14ac:dyDescent="0.25">
      <c r="A698" s="22">
        <v>4276</v>
      </c>
      <c r="B698" s="3">
        <v>38959</v>
      </c>
      <c r="C698" s="3">
        <v>44093</v>
      </c>
      <c r="D698" s="2">
        <f t="shared" si="21"/>
        <v>14</v>
      </c>
      <c r="E698" s="4" t="str" cm="1">
        <f t="array" ref="E698">_xlfn.IFS(
D698&lt;=5,"Newcomer",
D698&lt;=10,"Proficient",
D698&gt;10,"Expert"
)</f>
        <v>Expert</v>
      </c>
      <c r="F698" s="2" t="s">
        <v>78</v>
      </c>
      <c r="G698" s="5" t="s">
        <v>42</v>
      </c>
      <c r="H698" s="5" t="s">
        <v>105</v>
      </c>
      <c r="I698" s="2">
        <v>21</v>
      </c>
      <c r="J698" s="2" t="s">
        <v>24</v>
      </c>
      <c r="K698" s="2" t="s">
        <v>25</v>
      </c>
      <c r="L698" s="2" t="s">
        <v>96</v>
      </c>
      <c r="M698" s="4" t="str">
        <f t="shared" si="20"/>
        <v>Involuntary</v>
      </c>
      <c r="N698" s="23" t="s">
        <v>26</v>
      </c>
    </row>
    <row r="699" spans="1:14" x14ac:dyDescent="0.25">
      <c r="A699" s="22">
        <v>4277</v>
      </c>
      <c r="B699" s="3">
        <v>40667</v>
      </c>
      <c r="C699" s="3">
        <v>43995</v>
      </c>
      <c r="D699" s="2">
        <f t="shared" si="21"/>
        <v>9</v>
      </c>
      <c r="E699" s="4" t="str" cm="1">
        <f t="array" ref="E699">_xlfn.IFS(
D699&lt;=5,"Newcomer",
D699&lt;=10,"Proficient",
D699&gt;10,"Expert"
)</f>
        <v>Proficient</v>
      </c>
      <c r="F699" s="2" t="s">
        <v>30</v>
      </c>
      <c r="G699" s="5" t="s">
        <v>42</v>
      </c>
      <c r="H699" s="5" t="s">
        <v>105</v>
      </c>
      <c r="I699" s="2">
        <v>37</v>
      </c>
      <c r="J699" s="2" t="s">
        <v>24</v>
      </c>
      <c r="K699" s="2" t="s">
        <v>25</v>
      </c>
      <c r="L699" s="2" t="s">
        <v>96</v>
      </c>
      <c r="M699" s="4" t="str">
        <f t="shared" si="20"/>
        <v>Involuntary</v>
      </c>
      <c r="N699" s="23" t="s">
        <v>26</v>
      </c>
    </row>
    <row r="700" spans="1:14" x14ac:dyDescent="0.25">
      <c r="A700" s="22">
        <v>4278</v>
      </c>
      <c r="B700" s="3">
        <v>36862</v>
      </c>
      <c r="C700" s="3">
        <v>44178</v>
      </c>
      <c r="D700" s="2">
        <f t="shared" si="21"/>
        <v>20</v>
      </c>
      <c r="E700" s="4" t="str" cm="1">
        <f t="array" ref="E700">_xlfn.IFS(
D700&lt;=5,"Newcomer",
D700&lt;=10,"Proficient",
D700&gt;10,"Expert"
)</f>
        <v>Expert</v>
      </c>
      <c r="F700" s="2" t="s">
        <v>106</v>
      </c>
      <c r="G700" s="5" t="s">
        <v>35</v>
      </c>
      <c r="H700" s="5" t="s">
        <v>76</v>
      </c>
      <c r="I700" s="2">
        <v>20</v>
      </c>
      <c r="J700" s="2" t="s">
        <v>17</v>
      </c>
      <c r="K700" s="2" t="s">
        <v>18</v>
      </c>
      <c r="L700" s="2" t="s">
        <v>96</v>
      </c>
      <c r="M700" s="4" t="str">
        <f t="shared" si="20"/>
        <v>Involuntary</v>
      </c>
      <c r="N700" s="23" t="s">
        <v>26</v>
      </c>
    </row>
    <row r="701" spans="1:14" x14ac:dyDescent="0.25">
      <c r="A701" s="22">
        <v>4281</v>
      </c>
      <c r="B701" s="3">
        <v>35364</v>
      </c>
      <c r="C701" s="3">
        <v>43911</v>
      </c>
      <c r="D701" s="2">
        <f t="shared" si="21"/>
        <v>24</v>
      </c>
      <c r="E701" s="4" t="str" cm="1">
        <f t="array" ref="E701">_xlfn.IFS(
D701&lt;=5,"Newcomer",
D701&lt;=10,"Proficient",
D701&gt;10,"Expert"
)</f>
        <v>Expert</v>
      </c>
      <c r="F701" s="2" t="s">
        <v>69</v>
      </c>
      <c r="G701" s="5" t="s">
        <v>35</v>
      </c>
      <c r="H701" s="5" t="s">
        <v>76</v>
      </c>
      <c r="I701" s="2">
        <v>28</v>
      </c>
      <c r="J701" s="2" t="s">
        <v>17</v>
      </c>
      <c r="K701" s="2" t="s">
        <v>18</v>
      </c>
      <c r="L701" s="2" t="s">
        <v>96</v>
      </c>
      <c r="M701" s="4" t="str">
        <f t="shared" si="20"/>
        <v>Involuntary</v>
      </c>
      <c r="N701" s="23" t="s">
        <v>26</v>
      </c>
    </row>
    <row r="702" spans="1:14" x14ac:dyDescent="0.25">
      <c r="A702" s="22">
        <v>4284</v>
      </c>
      <c r="B702" s="3">
        <v>39042</v>
      </c>
      <c r="C702" s="3">
        <v>44179</v>
      </c>
      <c r="D702" s="2">
        <f t="shared" si="21"/>
        <v>14</v>
      </c>
      <c r="E702" s="4" t="str" cm="1">
        <f t="array" ref="E702">_xlfn.IFS(
D702&lt;=5,"Newcomer",
D702&lt;=10,"Proficient",
D702&gt;10,"Expert"
)</f>
        <v>Expert</v>
      </c>
      <c r="F702" s="2" t="s">
        <v>14</v>
      </c>
      <c r="G702" s="5" t="s">
        <v>47</v>
      </c>
      <c r="H702" s="5" t="s">
        <v>95</v>
      </c>
      <c r="I702" s="2">
        <v>42</v>
      </c>
      <c r="J702" s="2" t="s">
        <v>24</v>
      </c>
      <c r="K702" s="2" t="s">
        <v>25</v>
      </c>
      <c r="L702" s="2" t="s">
        <v>50</v>
      </c>
      <c r="M702" s="4" t="str">
        <f t="shared" si="20"/>
        <v>Voluntary</v>
      </c>
      <c r="N702" s="23" t="s">
        <v>26</v>
      </c>
    </row>
    <row r="703" spans="1:14" x14ac:dyDescent="0.25">
      <c r="A703" s="22">
        <v>4290</v>
      </c>
      <c r="B703" s="3">
        <v>32932</v>
      </c>
      <c r="C703" s="3">
        <v>43900</v>
      </c>
      <c r="D703" s="2">
        <f t="shared" si="21"/>
        <v>30</v>
      </c>
      <c r="E703" s="4" t="str" cm="1">
        <f t="array" ref="E703">_xlfn.IFS(
D703&lt;=5,"Newcomer",
D703&lt;=10,"Proficient",
D703&gt;10,"Expert"
)</f>
        <v>Expert</v>
      </c>
      <c r="F703" s="2" t="s">
        <v>44</v>
      </c>
      <c r="G703" s="5" t="s">
        <v>42</v>
      </c>
      <c r="H703" s="5" t="s">
        <v>105</v>
      </c>
      <c r="I703" s="2">
        <v>18</v>
      </c>
      <c r="J703" s="2" t="s">
        <v>24</v>
      </c>
      <c r="K703" s="2" t="s">
        <v>25</v>
      </c>
      <c r="L703" s="2" t="s">
        <v>96</v>
      </c>
      <c r="M703" s="4" t="str">
        <f t="shared" si="20"/>
        <v>Involuntary</v>
      </c>
      <c r="N703" s="23" t="s">
        <v>26</v>
      </c>
    </row>
    <row r="704" spans="1:14" x14ac:dyDescent="0.25">
      <c r="A704" s="22">
        <v>4291</v>
      </c>
      <c r="B704" s="3">
        <v>37951</v>
      </c>
      <c r="C704" s="3">
        <v>44058</v>
      </c>
      <c r="D704" s="2">
        <f t="shared" si="21"/>
        <v>17</v>
      </c>
      <c r="E704" s="4" t="str" cm="1">
        <f t="array" ref="E704">_xlfn.IFS(
D704&lt;=5,"Newcomer",
D704&lt;=10,"Proficient",
D704&gt;10,"Expert"
)</f>
        <v>Expert</v>
      </c>
      <c r="F704" s="2" t="s">
        <v>30</v>
      </c>
      <c r="G704" s="5" t="s">
        <v>42</v>
      </c>
      <c r="H704" s="5" t="s">
        <v>105</v>
      </c>
      <c r="I704" s="2">
        <v>37</v>
      </c>
      <c r="J704" s="2" t="s">
        <v>17</v>
      </c>
      <c r="K704" s="2" t="s">
        <v>18</v>
      </c>
      <c r="L704" s="2" t="s">
        <v>96</v>
      </c>
      <c r="M704" s="4" t="str">
        <f t="shared" si="20"/>
        <v>Involuntary</v>
      </c>
      <c r="N704" s="23" t="s">
        <v>26</v>
      </c>
    </row>
    <row r="705" spans="1:14" x14ac:dyDescent="0.25">
      <c r="A705" s="22">
        <v>4293</v>
      </c>
      <c r="B705" s="3">
        <v>41634</v>
      </c>
      <c r="C705" s="3">
        <v>43978</v>
      </c>
      <c r="D705" s="2">
        <f t="shared" si="21"/>
        <v>7</v>
      </c>
      <c r="E705" s="4" t="str" cm="1">
        <f t="array" ref="E705">_xlfn.IFS(
D705&lt;=5,"Newcomer",
D705&lt;=10,"Proficient",
D705&gt;10,"Expert"
)</f>
        <v>Proficient</v>
      </c>
      <c r="F705" s="2" t="s">
        <v>27</v>
      </c>
      <c r="G705" s="5" t="s">
        <v>42</v>
      </c>
      <c r="H705" s="5" t="s">
        <v>105</v>
      </c>
      <c r="I705" s="2">
        <v>16</v>
      </c>
      <c r="J705" s="2" t="s">
        <v>17</v>
      </c>
      <c r="K705" s="2" t="s">
        <v>18</v>
      </c>
      <c r="L705" s="2" t="s">
        <v>96</v>
      </c>
      <c r="M705" s="4" t="str">
        <f t="shared" si="20"/>
        <v>Involuntary</v>
      </c>
      <c r="N705" s="23" t="s">
        <v>26</v>
      </c>
    </row>
    <row r="706" spans="1:14" x14ac:dyDescent="0.25">
      <c r="A706" s="22">
        <v>4294</v>
      </c>
      <c r="B706" s="3">
        <v>36359</v>
      </c>
      <c r="C706" s="3">
        <v>44042</v>
      </c>
      <c r="D706" s="2">
        <f t="shared" si="21"/>
        <v>21</v>
      </c>
      <c r="E706" s="4" t="str" cm="1">
        <f t="array" ref="E706">_xlfn.IFS(
D706&lt;=5,"Newcomer",
D706&lt;=10,"Proficient",
D706&gt;10,"Expert"
)</f>
        <v>Expert</v>
      </c>
      <c r="F706" s="2" t="s">
        <v>14</v>
      </c>
      <c r="G706" s="5" t="s">
        <v>35</v>
      </c>
      <c r="H706" s="5" t="s">
        <v>76</v>
      </c>
      <c r="I706" s="2">
        <v>35</v>
      </c>
      <c r="J706" s="2" t="s">
        <v>24</v>
      </c>
      <c r="K706" s="2" t="s">
        <v>25</v>
      </c>
      <c r="L706" s="2" t="s">
        <v>96</v>
      </c>
      <c r="M706" s="4" t="str">
        <f t="shared" ref="M706:M769" si="22">IF(OR(L706="Retirement",L706="Resignation"),"Voluntary","Involuntary")</f>
        <v>Involuntary</v>
      </c>
      <c r="N706" s="23" t="s">
        <v>26</v>
      </c>
    </row>
    <row r="707" spans="1:14" x14ac:dyDescent="0.25">
      <c r="A707" s="22">
        <v>4296</v>
      </c>
      <c r="B707" s="3">
        <v>35778</v>
      </c>
      <c r="C707" s="3">
        <v>44153</v>
      </c>
      <c r="D707" s="2">
        <f t="shared" ref="D707:D770" si="23">YEAR(C707)-YEAR(B707)</f>
        <v>23</v>
      </c>
      <c r="E707" s="4" t="str" cm="1">
        <f t="array" ref="E707">_xlfn.IFS(
D707&lt;=5,"Newcomer",
D707&lt;=10,"Proficient",
D707&gt;10,"Expert"
)</f>
        <v>Expert</v>
      </c>
      <c r="F707" s="2" t="s">
        <v>73</v>
      </c>
      <c r="G707" s="5" t="s">
        <v>42</v>
      </c>
      <c r="H707" s="5" t="s">
        <v>105</v>
      </c>
      <c r="I707" s="2">
        <v>32</v>
      </c>
      <c r="J707" s="2" t="s">
        <v>24</v>
      </c>
      <c r="K707" s="2" t="s">
        <v>25</v>
      </c>
      <c r="L707" s="2" t="s">
        <v>96</v>
      </c>
      <c r="M707" s="4" t="str">
        <f t="shared" si="22"/>
        <v>Involuntary</v>
      </c>
      <c r="N707" s="23" t="s">
        <v>26</v>
      </c>
    </row>
    <row r="708" spans="1:14" x14ac:dyDescent="0.25">
      <c r="A708" s="22">
        <v>4298</v>
      </c>
      <c r="B708" s="3">
        <v>41737</v>
      </c>
      <c r="C708" s="3">
        <v>44127</v>
      </c>
      <c r="D708" s="2">
        <f t="shared" si="23"/>
        <v>6</v>
      </c>
      <c r="E708" s="4" t="str" cm="1">
        <f t="array" ref="E708">_xlfn.IFS(
D708&lt;=5,"Newcomer",
D708&lt;=10,"Proficient",
D708&gt;10,"Expert"
)</f>
        <v>Proficient</v>
      </c>
      <c r="F708" s="2" t="s">
        <v>53</v>
      </c>
      <c r="G708" s="5" t="s">
        <v>42</v>
      </c>
      <c r="H708" s="5" t="s">
        <v>105</v>
      </c>
      <c r="I708" s="2">
        <v>31</v>
      </c>
      <c r="J708" s="2" t="s">
        <v>17</v>
      </c>
      <c r="K708" s="2" t="s">
        <v>18</v>
      </c>
      <c r="L708" s="2" t="s">
        <v>96</v>
      </c>
      <c r="M708" s="4" t="str">
        <f t="shared" si="22"/>
        <v>Involuntary</v>
      </c>
      <c r="N708" s="23" t="s">
        <v>26</v>
      </c>
    </row>
    <row r="709" spans="1:14" x14ac:dyDescent="0.25">
      <c r="A709" s="22">
        <v>4303</v>
      </c>
      <c r="B709" s="3">
        <v>41061</v>
      </c>
      <c r="C709" s="3">
        <v>43934</v>
      </c>
      <c r="D709" s="2">
        <f t="shared" si="23"/>
        <v>8</v>
      </c>
      <c r="E709" s="4" t="str" cm="1">
        <f t="array" ref="E709">_xlfn.IFS(
D709&lt;=5,"Newcomer",
D709&lt;=10,"Proficient",
D709&gt;10,"Expert"
)</f>
        <v>Proficient</v>
      </c>
      <c r="F709" s="2" t="s">
        <v>91</v>
      </c>
      <c r="G709" s="5" t="s">
        <v>42</v>
      </c>
      <c r="H709" s="5" t="s">
        <v>105</v>
      </c>
      <c r="I709" s="2">
        <v>29</v>
      </c>
      <c r="J709" s="2" t="s">
        <v>17</v>
      </c>
      <c r="K709" s="2" t="s">
        <v>18</v>
      </c>
      <c r="L709" s="2" t="s">
        <v>96</v>
      </c>
      <c r="M709" s="4" t="str">
        <f t="shared" si="22"/>
        <v>Involuntary</v>
      </c>
      <c r="N709" s="23" t="s">
        <v>26</v>
      </c>
    </row>
    <row r="710" spans="1:14" x14ac:dyDescent="0.25">
      <c r="A710" s="22">
        <v>4304</v>
      </c>
      <c r="B710" s="3">
        <v>35321</v>
      </c>
      <c r="C710" s="3">
        <v>44172</v>
      </c>
      <c r="D710" s="2">
        <f t="shared" si="23"/>
        <v>24</v>
      </c>
      <c r="E710" s="4" t="str" cm="1">
        <f t="array" ref="E710">_xlfn.IFS(
D710&lt;=5,"Newcomer",
D710&lt;=10,"Proficient",
D710&gt;10,"Expert"
)</f>
        <v>Expert</v>
      </c>
      <c r="F710" s="2" t="s">
        <v>78</v>
      </c>
      <c r="G710" s="5" t="s">
        <v>42</v>
      </c>
      <c r="H710" s="5" t="s">
        <v>105</v>
      </c>
      <c r="I710" s="2">
        <v>21</v>
      </c>
      <c r="J710" s="2" t="s">
        <v>24</v>
      </c>
      <c r="K710" s="2" t="s">
        <v>25</v>
      </c>
      <c r="L710" s="2" t="s">
        <v>50</v>
      </c>
      <c r="M710" s="4" t="str">
        <f t="shared" si="22"/>
        <v>Voluntary</v>
      </c>
      <c r="N710" s="23" t="s">
        <v>26</v>
      </c>
    </row>
    <row r="711" spans="1:14" x14ac:dyDescent="0.25">
      <c r="A711" s="22">
        <v>4310</v>
      </c>
      <c r="B711" s="3">
        <v>39965</v>
      </c>
      <c r="C711" s="3">
        <v>43868</v>
      </c>
      <c r="D711" s="2">
        <f t="shared" si="23"/>
        <v>11</v>
      </c>
      <c r="E711" s="4" t="str" cm="1">
        <f t="array" ref="E711">_xlfn.IFS(
D711&lt;=5,"Newcomer",
D711&lt;=10,"Proficient",
D711&gt;10,"Expert"
)</f>
        <v>Expert</v>
      </c>
      <c r="F711" s="2" t="s">
        <v>100</v>
      </c>
      <c r="G711" s="5" t="s">
        <v>42</v>
      </c>
      <c r="H711" s="5" t="s">
        <v>105</v>
      </c>
      <c r="I711" s="2">
        <v>13</v>
      </c>
      <c r="J711" s="2" t="s">
        <v>17</v>
      </c>
      <c r="K711" s="2" t="s">
        <v>18</v>
      </c>
      <c r="L711" s="2" t="s">
        <v>96</v>
      </c>
      <c r="M711" s="4" t="str">
        <f t="shared" si="22"/>
        <v>Involuntary</v>
      </c>
      <c r="N711" s="23" t="s">
        <v>26</v>
      </c>
    </row>
    <row r="712" spans="1:14" x14ac:dyDescent="0.25">
      <c r="A712" s="22">
        <v>4315</v>
      </c>
      <c r="B712" s="3">
        <v>41599</v>
      </c>
      <c r="C712" s="3">
        <v>44002</v>
      </c>
      <c r="D712" s="2">
        <f t="shared" si="23"/>
        <v>7</v>
      </c>
      <c r="E712" s="4" t="str" cm="1">
        <f t="array" ref="E712">_xlfn.IFS(
D712&lt;=5,"Newcomer",
D712&lt;=10,"Proficient",
D712&gt;10,"Expert"
)</f>
        <v>Proficient</v>
      </c>
      <c r="F712" s="2" t="s">
        <v>27</v>
      </c>
      <c r="G712" s="5" t="s">
        <v>42</v>
      </c>
      <c r="H712" s="5" t="s">
        <v>105</v>
      </c>
      <c r="I712" s="2">
        <v>16</v>
      </c>
      <c r="J712" s="2" t="s">
        <v>17</v>
      </c>
      <c r="K712" s="2" t="s">
        <v>18</v>
      </c>
      <c r="L712" s="2" t="s">
        <v>96</v>
      </c>
      <c r="M712" s="4" t="str">
        <f t="shared" si="22"/>
        <v>Involuntary</v>
      </c>
      <c r="N712" s="23" t="s">
        <v>26</v>
      </c>
    </row>
    <row r="713" spans="1:14" x14ac:dyDescent="0.25">
      <c r="A713" s="22">
        <v>4316</v>
      </c>
      <c r="B713" s="3">
        <v>39713</v>
      </c>
      <c r="C713" s="3">
        <v>44192</v>
      </c>
      <c r="D713" s="2">
        <f t="shared" si="23"/>
        <v>12</v>
      </c>
      <c r="E713" s="4" t="str" cm="1">
        <f t="array" ref="E713">_xlfn.IFS(
D713&lt;=5,"Newcomer",
D713&lt;=10,"Proficient",
D713&gt;10,"Expert"
)</f>
        <v>Expert</v>
      </c>
      <c r="F713" s="2" t="s">
        <v>14</v>
      </c>
      <c r="G713" s="5" t="s">
        <v>47</v>
      </c>
      <c r="H713" s="5" t="s">
        <v>95</v>
      </c>
      <c r="I713" s="2">
        <v>42</v>
      </c>
      <c r="J713" s="2" t="s">
        <v>24</v>
      </c>
      <c r="K713" s="2" t="s">
        <v>25</v>
      </c>
      <c r="L713" s="2" t="s">
        <v>50</v>
      </c>
      <c r="M713" s="4" t="str">
        <f t="shared" si="22"/>
        <v>Voluntary</v>
      </c>
      <c r="N713" s="23" t="s">
        <v>26</v>
      </c>
    </row>
    <row r="714" spans="1:14" x14ac:dyDescent="0.25">
      <c r="A714" s="22">
        <v>4317</v>
      </c>
      <c r="B714" s="3">
        <v>41523</v>
      </c>
      <c r="C714" s="3">
        <v>44032</v>
      </c>
      <c r="D714" s="2">
        <f t="shared" si="23"/>
        <v>7</v>
      </c>
      <c r="E714" s="4" t="str" cm="1">
        <f t="array" ref="E714">_xlfn.IFS(
D714&lt;=5,"Newcomer",
D714&lt;=10,"Proficient",
D714&gt;10,"Expert"
)</f>
        <v>Proficient</v>
      </c>
      <c r="F714" s="2" t="s">
        <v>14</v>
      </c>
      <c r="G714" s="5" t="s">
        <v>35</v>
      </c>
      <c r="H714" s="5" t="s">
        <v>76</v>
      </c>
      <c r="I714" s="2">
        <v>35</v>
      </c>
      <c r="J714" s="2" t="s">
        <v>24</v>
      </c>
      <c r="K714" s="2" t="s">
        <v>25</v>
      </c>
      <c r="L714" s="2" t="s">
        <v>96</v>
      </c>
      <c r="M714" s="4" t="str">
        <f t="shared" si="22"/>
        <v>Involuntary</v>
      </c>
      <c r="N714" s="23" t="s">
        <v>26</v>
      </c>
    </row>
    <row r="715" spans="1:14" x14ac:dyDescent="0.25">
      <c r="A715" s="22">
        <v>4318</v>
      </c>
      <c r="B715" s="3">
        <v>35598</v>
      </c>
      <c r="C715" s="3">
        <v>43920</v>
      </c>
      <c r="D715" s="2">
        <f t="shared" si="23"/>
        <v>23</v>
      </c>
      <c r="E715" s="4" t="str" cm="1">
        <f t="array" ref="E715">_xlfn.IFS(
D715&lt;=5,"Newcomer",
D715&lt;=10,"Proficient",
D715&gt;10,"Expert"
)</f>
        <v>Expert</v>
      </c>
      <c r="F715" s="2" t="s">
        <v>90</v>
      </c>
      <c r="G715" s="5" t="s">
        <v>42</v>
      </c>
      <c r="H715" s="5" t="s">
        <v>105</v>
      </c>
      <c r="I715" s="2">
        <v>26</v>
      </c>
      <c r="J715" s="2" t="s">
        <v>17</v>
      </c>
      <c r="K715" s="2" t="s">
        <v>18</v>
      </c>
      <c r="L715" s="2" t="s">
        <v>96</v>
      </c>
      <c r="M715" s="4" t="str">
        <f t="shared" si="22"/>
        <v>Involuntary</v>
      </c>
      <c r="N715" s="23" t="s">
        <v>26</v>
      </c>
    </row>
    <row r="716" spans="1:14" x14ac:dyDescent="0.25">
      <c r="A716" s="22">
        <v>4319</v>
      </c>
      <c r="B716" s="3">
        <v>37783</v>
      </c>
      <c r="C716" s="3">
        <v>43981</v>
      </c>
      <c r="D716" s="2">
        <f t="shared" si="23"/>
        <v>17</v>
      </c>
      <c r="E716" s="4" t="str" cm="1">
        <f t="array" ref="E716">_xlfn.IFS(
D716&lt;=5,"Newcomer",
D716&lt;=10,"Proficient",
D716&gt;10,"Expert"
)</f>
        <v>Expert</v>
      </c>
      <c r="F716" s="2" t="s">
        <v>106</v>
      </c>
      <c r="G716" s="5" t="s">
        <v>35</v>
      </c>
      <c r="H716" s="5" t="s">
        <v>76</v>
      </c>
      <c r="I716" s="2">
        <v>20</v>
      </c>
      <c r="J716" s="2" t="s">
        <v>24</v>
      </c>
      <c r="K716" s="2" t="s">
        <v>25</v>
      </c>
      <c r="L716" s="2" t="s">
        <v>96</v>
      </c>
      <c r="M716" s="4" t="str">
        <f t="shared" si="22"/>
        <v>Involuntary</v>
      </c>
      <c r="N716" s="23" t="s">
        <v>26</v>
      </c>
    </row>
    <row r="717" spans="1:14" x14ac:dyDescent="0.25">
      <c r="A717" s="22">
        <v>4320</v>
      </c>
      <c r="B717" s="3">
        <v>38376</v>
      </c>
      <c r="C717" s="3">
        <v>43943</v>
      </c>
      <c r="D717" s="2">
        <f t="shared" si="23"/>
        <v>15</v>
      </c>
      <c r="E717" s="4" t="str" cm="1">
        <f t="array" ref="E717">_xlfn.IFS(
D717&lt;=5,"Newcomer",
D717&lt;=10,"Proficient",
D717&gt;10,"Expert"
)</f>
        <v>Expert</v>
      </c>
      <c r="F717" s="2" t="s">
        <v>79</v>
      </c>
      <c r="G717" s="5" t="s">
        <v>42</v>
      </c>
      <c r="H717" s="5" t="s">
        <v>105</v>
      </c>
      <c r="I717" s="2">
        <v>25</v>
      </c>
      <c r="J717" s="2" t="s">
        <v>24</v>
      </c>
      <c r="K717" s="2" t="s">
        <v>25</v>
      </c>
      <c r="L717" s="2" t="s">
        <v>96</v>
      </c>
      <c r="M717" s="4" t="str">
        <f t="shared" si="22"/>
        <v>Involuntary</v>
      </c>
      <c r="N717" s="23" t="s">
        <v>26</v>
      </c>
    </row>
    <row r="718" spans="1:14" x14ac:dyDescent="0.25">
      <c r="A718" s="22">
        <v>4323</v>
      </c>
      <c r="B718" s="3">
        <v>40558</v>
      </c>
      <c r="C718" s="3">
        <v>43873</v>
      </c>
      <c r="D718" s="2">
        <f t="shared" si="23"/>
        <v>9</v>
      </c>
      <c r="E718" s="4" t="str" cm="1">
        <f t="array" ref="E718">_xlfn.IFS(
D718&lt;=5,"Newcomer",
D718&lt;=10,"Proficient",
D718&gt;10,"Expert"
)</f>
        <v>Proficient</v>
      </c>
      <c r="F718" s="2" t="s">
        <v>30</v>
      </c>
      <c r="G718" s="5" t="s">
        <v>42</v>
      </c>
      <c r="H718" s="5" t="s">
        <v>105</v>
      </c>
      <c r="I718" s="2">
        <v>37</v>
      </c>
      <c r="J718" s="2" t="s">
        <v>17</v>
      </c>
      <c r="K718" s="2" t="s">
        <v>18</v>
      </c>
      <c r="L718" s="2" t="s">
        <v>96</v>
      </c>
      <c r="M718" s="4" t="str">
        <f t="shared" si="22"/>
        <v>Involuntary</v>
      </c>
      <c r="N718" s="23" t="s">
        <v>26</v>
      </c>
    </row>
    <row r="719" spans="1:14" x14ac:dyDescent="0.25">
      <c r="A719" s="22">
        <v>4336</v>
      </c>
      <c r="B719" s="3">
        <v>35387</v>
      </c>
      <c r="C719" s="3">
        <v>44102</v>
      </c>
      <c r="D719" s="2">
        <f t="shared" si="23"/>
        <v>24</v>
      </c>
      <c r="E719" s="4" t="str" cm="1">
        <f t="array" ref="E719">_xlfn.IFS(
D719&lt;=5,"Newcomer",
D719&lt;=10,"Proficient",
D719&gt;10,"Expert"
)</f>
        <v>Expert</v>
      </c>
      <c r="F719" s="2" t="s">
        <v>78</v>
      </c>
      <c r="G719" s="5" t="s">
        <v>42</v>
      </c>
      <c r="H719" s="5" t="s">
        <v>105</v>
      </c>
      <c r="I719" s="2">
        <v>21</v>
      </c>
      <c r="J719" s="2" t="s">
        <v>17</v>
      </c>
      <c r="K719" s="2" t="s">
        <v>18</v>
      </c>
      <c r="L719" s="2" t="s">
        <v>96</v>
      </c>
      <c r="M719" s="4" t="str">
        <f t="shared" si="22"/>
        <v>Involuntary</v>
      </c>
      <c r="N719" s="23" t="s">
        <v>26</v>
      </c>
    </row>
    <row r="720" spans="1:14" x14ac:dyDescent="0.25">
      <c r="A720" s="22">
        <v>4337</v>
      </c>
      <c r="B720" s="3">
        <v>37225</v>
      </c>
      <c r="C720" s="3">
        <v>43910</v>
      </c>
      <c r="D720" s="2">
        <f t="shared" si="23"/>
        <v>19</v>
      </c>
      <c r="E720" s="4" t="str" cm="1">
        <f t="array" ref="E720">_xlfn.IFS(
D720&lt;=5,"Newcomer",
D720&lt;=10,"Proficient",
D720&gt;10,"Expert"
)</f>
        <v>Expert</v>
      </c>
      <c r="F720" s="2" t="s">
        <v>73</v>
      </c>
      <c r="G720" s="5" t="s">
        <v>42</v>
      </c>
      <c r="H720" s="5" t="s">
        <v>105</v>
      </c>
      <c r="I720" s="2">
        <v>32</v>
      </c>
      <c r="J720" s="2" t="s">
        <v>17</v>
      </c>
      <c r="K720" s="2" t="s">
        <v>18</v>
      </c>
      <c r="L720" s="2" t="s">
        <v>96</v>
      </c>
      <c r="M720" s="4" t="str">
        <f t="shared" si="22"/>
        <v>Involuntary</v>
      </c>
      <c r="N720" s="23" t="s">
        <v>26</v>
      </c>
    </row>
    <row r="721" spans="1:14" x14ac:dyDescent="0.25">
      <c r="A721" s="22">
        <v>4339</v>
      </c>
      <c r="B721" s="3">
        <v>38512</v>
      </c>
      <c r="C721" s="3">
        <v>43920</v>
      </c>
      <c r="D721" s="2">
        <f t="shared" si="23"/>
        <v>15</v>
      </c>
      <c r="E721" s="4" t="str" cm="1">
        <f t="array" ref="E721">_xlfn.IFS(
D721&lt;=5,"Newcomer",
D721&lt;=10,"Proficient",
D721&gt;10,"Expert"
)</f>
        <v>Expert</v>
      </c>
      <c r="F721" s="2" t="s">
        <v>41</v>
      </c>
      <c r="G721" s="5" t="s">
        <v>47</v>
      </c>
      <c r="H721" s="5" t="s">
        <v>95</v>
      </c>
      <c r="I721" s="2">
        <v>15</v>
      </c>
      <c r="J721" s="2" t="s">
        <v>17</v>
      </c>
      <c r="K721" s="2" t="s">
        <v>18</v>
      </c>
      <c r="L721" s="2" t="s">
        <v>96</v>
      </c>
      <c r="M721" s="4" t="str">
        <f t="shared" si="22"/>
        <v>Involuntary</v>
      </c>
      <c r="N721" s="23" t="s">
        <v>26</v>
      </c>
    </row>
    <row r="722" spans="1:14" x14ac:dyDescent="0.25">
      <c r="A722" s="22">
        <v>4340</v>
      </c>
      <c r="B722" s="3">
        <v>38261</v>
      </c>
      <c r="C722" s="3">
        <v>43833</v>
      </c>
      <c r="D722" s="2">
        <f t="shared" si="23"/>
        <v>16</v>
      </c>
      <c r="E722" s="4" t="str" cm="1">
        <f t="array" ref="E722">_xlfn.IFS(
D722&lt;=5,"Newcomer",
D722&lt;=10,"Proficient",
D722&gt;10,"Expert"
)</f>
        <v>Expert</v>
      </c>
      <c r="F722" s="2" t="s">
        <v>81</v>
      </c>
      <c r="G722" s="5" t="s">
        <v>42</v>
      </c>
      <c r="H722" s="5" t="s">
        <v>105</v>
      </c>
      <c r="I722" s="2">
        <v>5</v>
      </c>
      <c r="J722" s="2" t="s">
        <v>24</v>
      </c>
      <c r="K722" s="2" t="s">
        <v>25</v>
      </c>
      <c r="L722" s="2" t="s">
        <v>96</v>
      </c>
      <c r="M722" s="4" t="str">
        <f t="shared" si="22"/>
        <v>Involuntary</v>
      </c>
      <c r="N722" s="23" t="s">
        <v>26</v>
      </c>
    </row>
    <row r="723" spans="1:14" x14ac:dyDescent="0.25">
      <c r="A723" s="22">
        <v>4344</v>
      </c>
      <c r="B723" s="3">
        <v>34235</v>
      </c>
      <c r="C723" s="3">
        <v>44071</v>
      </c>
      <c r="D723" s="2">
        <f t="shared" si="23"/>
        <v>27</v>
      </c>
      <c r="E723" s="4" t="str" cm="1">
        <f t="array" ref="E723">_xlfn.IFS(
D723&lt;=5,"Newcomer",
D723&lt;=10,"Proficient",
D723&gt;10,"Expert"
)</f>
        <v>Expert</v>
      </c>
      <c r="F723" s="2" t="s">
        <v>104</v>
      </c>
      <c r="G723" s="5" t="s">
        <v>71</v>
      </c>
      <c r="H723" s="5" t="s">
        <v>116</v>
      </c>
      <c r="I723" s="2">
        <v>39</v>
      </c>
      <c r="J723" s="2" t="s">
        <v>24</v>
      </c>
      <c r="K723" s="2" t="s">
        <v>25</v>
      </c>
      <c r="L723" s="2" t="s">
        <v>96</v>
      </c>
      <c r="M723" s="4" t="str">
        <f t="shared" si="22"/>
        <v>Involuntary</v>
      </c>
      <c r="N723" s="23" t="s">
        <v>26</v>
      </c>
    </row>
    <row r="724" spans="1:14" x14ac:dyDescent="0.25">
      <c r="A724" s="22">
        <v>4345</v>
      </c>
      <c r="B724" s="3">
        <v>42023</v>
      </c>
      <c r="C724" s="3">
        <v>44065</v>
      </c>
      <c r="D724" s="2">
        <f t="shared" si="23"/>
        <v>5</v>
      </c>
      <c r="E724" s="4" t="str" cm="1">
        <f t="array" ref="E724">_xlfn.IFS(
D724&lt;=5,"Newcomer",
D724&lt;=10,"Proficient",
D724&gt;10,"Expert"
)</f>
        <v>Newcomer</v>
      </c>
      <c r="F724" s="2" t="s">
        <v>30</v>
      </c>
      <c r="G724" s="5" t="s">
        <v>42</v>
      </c>
      <c r="H724" s="5" t="s">
        <v>105</v>
      </c>
      <c r="I724" s="2">
        <v>37</v>
      </c>
      <c r="J724" s="2" t="s">
        <v>17</v>
      </c>
      <c r="K724" s="2" t="s">
        <v>18</v>
      </c>
      <c r="L724" s="2" t="s">
        <v>96</v>
      </c>
      <c r="M724" s="4" t="str">
        <f t="shared" si="22"/>
        <v>Involuntary</v>
      </c>
      <c r="N724" s="23" t="s">
        <v>26</v>
      </c>
    </row>
    <row r="725" spans="1:14" x14ac:dyDescent="0.25">
      <c r="A725" s="22">
        <v>4346</v>
      </c>
      <c r="B725" s="3">
        <v>34946</v>
      </c>
      <c r="C725" s="3">
        <v>44125</v>
      </c>
      <c r="D725" s="2">
        <f t="shared" si="23"/>
        <v>25</v>
      </c>
      <c r="E725" s="4" t="str" cm="1">
        <f t="array" ref="E725">_xlfn.IFS(
D725&lt;=5,"Newcomer",
D725&lt;=10,"Proficient",
D725&gt;10,"Expert"
)</f>
        <v>Expert</v>
      </c>
      <c r="F725" s="2" t="s">
        <v>85</v>
      </c>
      <c r="G725" s="5" t="s">
        <v>71</v>
      </c>
      <c r="H725" s="5" t="s">
        <v>116</v>
      </c>
      <c r="I725" s="2">
        <v>3</v>
      </c>
      <c r="J725" s="2" t="s">
        <v>17</v>
      </c>
      <c r="K725" s="2" t="s">
        <v>18</v>
      </c>
      <c r="L725" s="2" t="s">
        <v>96</v>
      </c>
      <c r="M725" s="4" t="str">
        <f t="shared" si="22"/>
        <v>Involuntary</v>
      </c>
      <c r="N725" s="23" t="s">
        <v>26</v>
      </c>
    </row>
    <row r="726" spans="1:14" x14ac:dyDescent="0.25">
      <c r="A726" s="22">
        <v>4347</v>
      </c>
      <c r="B726" s="3">
        <v>39392</v>
      </c>
      <c r="C726" s="3">
        <v>43877</v>
      </c>
      <c r="D726" s="2">
        <f t="shared" si="23"/>
        <v>13</v>
      </c>
      <c r="E726" s="4" t="str" cm="1">
        <f t="array" ref="E726">_xlfn.IFS(
D726&lt;=5,"Newcomer",
D726&lt;=10,"Proficient",
D726&gt;10,"Expert"
)</f>
        <v>Expert</v>
      </c>
      <c r="F726" s="2" t="s">
        <v>102</v>
      </c>
      <c r="G726" s="5" t="s">
        <v>47</v>
      </c>
      <c r="H726" s="5" t="s">
        <v>95</v>
      </c>
      <c r="I726" s="2">
        <v>1</v>
      </c>
      <c r="J726" s="2" t="s">
        <v>17</v>
      </c>
      <c r="K726" s="2" t="s">
        <v>18</v>
      </c>
      <c r="L726" s="2" t="s">
        <v>96</v>
      </c>
      <c r="M726" s="4" t="str">
        <f t="shared" si="22"/>
        <v>Involuntary</v>
      </c>
      <c r="N726" s="23" t="s">
        <v>26</v>
      </c>
    </row>
    <row r="727" spans="1:14" x14ac:dyDescent="0.25">
      <c r="A727" s="22">
        <v>4353</v>
      </c>
      <c r="B727" s="3">
        <v>37963</v>
      </c>
      <c r="C727" s="3">
        <v>44099</v>
      </c>
      <c r="D727" s="2">
        <f t="shared" si="23"/>
        <v>17</v>
      </c>
      <c r="E727" s="4" t="str" cm="1">
        <f t="array" ref="E727">_xlfn.IFS(
D727&lt;=5,"Newcomer",
D727&lt;=10,"Proficient",
D727&gt;10,"Expert"
)</f>
        <v>Expert</v>
      </c>
      <c r="F727" s="2" t="s">
        <v>27</v>
      </c>
      <c r="G727" s="5" t="s">
        <v>42</v>
      </c>
      <c r="H727" s="5" t="s">
        <v>105</v>
      </c>
      <c r="I727" s="2">
        <v>16</v>
      </c>
      <c r="J727" s="2" t="s">
        <v>24</v>
      </c>
      <c r="K727" s="2" t="s">
        <v>25</v>
      </c>
      <c r="L727" s="2" t="s">
        <v>96</v>
      </c>
      <c r="M727" s="4" t="str">
        <f t="shared" si="22"/>
        <v>Involuntary</v>
      </c>
      <c r="N727" s="23" t="s">
        <v>26</v>
      </c>
    </row>
    <row r="728" spans="1:14" x14ac:dyDescent="0.25">
      <c r="A728" s="22">
        <v>4354</v>
      </c>
      <c r="B728" s="3">
        <v>35221</v>
      </c>
      <c r="C728" s="3">
        <v>44007</v>
      </c>
      <c r="D728" s="2">
        <f t="shared" si="23"/>
        <v>24</v>
      </c>
      <c r="E728" s="4" t="str" cm="1">
        <f t="array" ref="E728">_xlfn.IFS(
D728&lt;=5,"Newcomer",
D728&lt;=10,"Proficient",
D728&gt;10,"Expert"
)</f>
        <v>Expert</v>
      </c>
      <c r="F728" s="2" t="s">
        <v>41</v>
      </c>
      <c r="G728" s="5" t="s">
        <v>47</v>
      </c>
      <c r="H728" s="5" t="s">
        <v>95</v>
      </c>
      <c r="I728" s="2">
        <v>15</v>
      </c>
      <c r="J728" s="2" t="s">
        <v>17</v>
      </c>
      <c r="K728" s="2" t="s">
        <v>18</v>
      </c>
      <c r="L728" s="2" t="s">
        <v>96</v>
      </c>
      <c r="M728" s="4" t="str">
        <f t="shared" si="22"/>
        <v>Involuntary</v>
      </c>
      <c r="N728" s="23" t="s">
        <v>26</v>
      </c>
    </row>
    <row r="729" spans="1:14" x14ac:dyDescent="0.25">
      <c r="A729" s="22">
        <v>4356</v>
      </c>
      <c r="B729" s="3">
        <v>36290</v>
      </c>
      <c r="C729" s="3">
        <v>44110</v>
      </c>
      <c r="D729" s="2">
        <f t="shared" si="23"/>
        <v>21</v>
      </c>
      <c r="E729" s="4" t="str" cm="1">
        <f t="array" ref="E729">_xlfn.IFS(
D729&lt;=5,"Newcomer",
D729&lt;=10,"Proficient",
D729&gt;10,"Expert"
)</f>
        <v>Expert</v>
      </c>
      <c r="F729" s="2" t="s">
        <v>30</v>
      </c>
      <c r="G729" s="5" t="s">
        <v>42</v>
      </c>
      <c r="H729" s="5" t="s">
        <v>105</v>
      </c>
      <c r="I729" s="2">
        <v>37</v>
      </c>
      <c r="J729" s="2" t="s">
        <v>17</v>
      </c>
      <c r="K729" s="2" t="s">
        <v>18</v>
      </c>
      <c r="L729" s="2" t="s">
        <v>96</v>
      </c>
      <c r="M729" s="4" t="str">
        <f t="shared" si="22"/>
        <v>Involuntary</v>
      </c>
      <c r="N729" s="23" t="s">
        <v>26</v>
      </c>
    </row>
    <row r="730" spans="1:14" x14ac:dyDescent="0.25">
      <c r="A730" s="22">
        <v>4357</v>
      </c>
      <c r="B730" s="3">
        <v>38382</v>
      </c>
      <c r="C730" s="3">
        <v>44177</v>
      </c>
      <c r="D730" s="2">
        <f t="shared" si="23"/>
        <v>15</v>
      </c>
      <c r="E730" s="4" t="str" cm="1">
        <f t="array" ref="E730">_xlfn.IFS(
D730&lt;=5,"Newcomer",
D730&lt;=10,"Proficient",
D730&gt;10,"Expert"
)</f>
        <v>Expert</v>
      </c>
      <c r="F730" s="2" t="s">
        <v>14</v>
      </c>
      <c r="G730" s="5" t="s">
        <v>35</v>
      </c>
      <c r="H730" s="5" t="s">
        <v>76</v>
      </c>
      <c r="I730" s="2">
        <v>35</v>
      </c>
      <c r="J730" s="2" t="s">
        <v>17</v>
      </c>
      <c r="K730" s="2" t="s">
        <v>18</v>
      </c>
      <c r="L730" s="2" t="s">
        <v>96</v>
      </c>
      <c r="M730" s="4" t="str">
        <f t="shared" si="22"/>
        <v>Involuntary</v>
      </c>
      <c r="N730" s="23" t="s">
        <v>26</v>
      </c>
    </row>
    <row r="731" spans="1:14" x14ac:dyDescent="0.25">
      <c r="A731" s="22">
        <v>4359</v>
      </c>
      <c r="B731" s="3">
        <v>36179</v>
      </c>
      <c r="C731" s="3">
        <v>43923</v>
      </c>
      <c r="D731" s="2">
        <f t="shared" si="23"/>
        <v>21</v>
      </c>
      <c r="E731" s="4" t="str" cm="1">
        <f t="array" ref="E731">_xlfn.IFS(
D731&lt;=5,"Newcomer",
D731&lt;=10,"Proficient",
D731&gt;10,"Expert"
)</f>
        <v>Expert</v>
      </c>
      <c r="F731" s="2" t="s">
        <v>73</v>
      </c>
      <c r="G731" s="5" t="s">
        <v>42</v>
      </c>
      <c r="H731" s="5" t="s">
        <v>105</v>
      </c>
      <c r="I731" s="2">
        <v>32</v>
      </c>
      <c r="J731" s="2" t="s">
        <v>24</v>
      </c>
      <c r="K731" s="2" t="s">
        <v>25</v>
      </c>
      <c r="L731" s="2" t="s">
        <v>96</v>
      </c>
      <c r="M731" s="4" t="str">
        <f t="shared" si="22"/>
        <v>Involuntary</v>
      </c>
      <c r="N731" s="23" t="s">
        <v>26</v>
      </c>
    </row>
    <row r="732" spans="1:14" x14ac:dyDescent="0.25">
      <c r="A732" s="22">
        <v>4366</v>
      </c>
      <c r="B732" s="3">
        <v>33647</v>
      </c>
      <c r="C732" s="3">
        <v>44164</v>
      </c>
      <c r="D732" s="2">
        <f t="shared" si="23"/>
        <v>28</v>
      </c>
      <c r="E732" s="4" t="str" cm="1">
        <f t="array" ref="E732">_xlfn.IFS(
D732&lt;=5,"Newcomer",
D732&lt;=10,"Proficient",
D732&gt;10,"Expert"
)</f>
        <v>Expert</v>
      </c>
      <c r="F732" s="2" t="s">
        <v>14</v>
      </c>
      <c r="G732" s="5" t="s">
        <v>35</v>
      </c>
      <c r="H732" s="5" t="s">
        <v>76</v>
      </c>
      <c r="I732" s="2">
        <v>35</v>
      </c>
      <c r="J732" s="2" t="s">
        <v>17</v>
      </c>
      <c r="K732" s="2" t="s">
        <v>18</v>
      </c>
      <c r="L732" s="2" t="s">
        <v>96</v>
      </c>
      <c r="M732" s="4" t="str">
        <f t="shared" si="22"/>
        <v>Involuntary</v>
      </c>
      <c r="N732" s="23" t="s">
        <v>26</v>
      </c>
    </row>
    <row r="733" spans="1:14" x14ac:dyDescent="0.25">
      <c r="A733" s="22">
        <v>4371</v>
      </c>
      <c r="B733" s="3">
        <v>40948</v>
      </c>
      <c r="C733" s="3">
        <v>44056</v>
      </c>
      <c r="D733" s="2">
        <f t="shared" si="23"/>
        <v>8</v>
      </c>
      <c r="E733" s="4" t="str" cm="1">
        <f t="array" ref="E733">_xlfn.IFS(
D733&lt;=5,"Newcomer",
D733&lt;=10,"Proficient",
D733&gt;10,"Expert"
)</f>
        <v>Proficient</v>
      </c>
      <c r="F733" s="2" t="s">
        <v>106</v>
      </c>
      <c r="G733" s="5" t="s">
        <v>42</v>
      </c>
      <c r="H733" s="5" t="s">
        <v>105</v>
      </c>
      <c r="I733" s="2">
        <v>20</v>
      </c>
      <c r="J733" s="2" t="s">
        <v>17</v>
      </c>
      <c r="K733" s="2" t="s">
        <v>18</v>
      </c>
      <c r="L733" s="2" t="s">
        <v>96</v>
      </c>
      <c r="M733" s="4" t="str">
        <f t="shared" si="22"/>
        <v>Involuntary</v>
      </c>
      <c r="N733" s="23" t="s">
        <v>26</v>
      </c>
    </row>
    <row r="734" spans="1:14" x14ac:dyDescent="0.25">
      <c r="A734" s="22">
        <v>4373</v>
      </c>
      <c r="B734" s="3">
        <v>37391</v>
      </c>
      <c r="C734" s="3">
        <v>43966</v>
      </c>
      <c r="D734" s="2">
        <f t="shared" si="23"/>
        <v>18</v>
      </c>
      <c r="E734" s="4" t="str" cm="1">
        <f t="array" ref="E734">_xlfn.IFS(
D734&lt;=5,"Newcomer",
D734&lt;=10,"Proficient",
D734&gt;10,"Expert"
)</f>
        <v>Expert</v>
      </c>
      <c r="F734" s="2" t="s">
        <v>89</v>
      </c>
      <c r="G734" s="5" t="s">
        <v>42</v>
      </c>
      <c r="H734" s="5" t="s">
        <v>105</v>
      </c>
      <c r="I734" s="2">
        <v>33</v>
      </c>
      <c r="J734" s="2" t="s">
        <v>17</v>
      </c>
      <c r="K734" s="2" t="s">
        <v>18</v>
      </c>
      <c r="L734" s="2" t="s">
        <v>96</v>
      </c>
      <c r="M734" s="4" t="str">
        <f t="shared" si="22"/>
        <v>Involuntary</v>
      </c>
      <c r="N734" s="23" t="s">
        <v>26</v>
      </c>
    </row>
    <row r="735" spans="1:14" x14ac:dyDescent="0.25">
      <c r="A735" s="22">
        <v>4374</v>
      </c>
      <c r="B735" s="3">
        <v>36817</v>
      </c>
      <c r="C735" s="3">
        <v>43910</v>
      </c>
      <c r="D735" s="2">
        <f t="shared" si="23"/>
        <v>20</v>
      </c>
      <c r="E735" s="4" t="str" cm="1">
        <f t="array" ref="E735">_xlfn.IFS(
D735&lt;=5,"Newcomer",
D735&lt;=10,"Proficient",
D735&gt;10,"Expert"
)</f>
        <v>Expert</v>
      </c>
      <c r="F735" s="2" t="s">
        <v>44</v>
      </c>
      <c r="G735" s="5" t="s">
        <v>42</v>
      </c>
      <c r="H735" s="5" t="s">
        <v>105</v>
      </c>
      <c r="I735" s="2">
        <v>18</v>
      </c>
      <c r="J735" s="2" t="s">
        <v>17</v>
      </c>
      <c r="K735" s="2" t="s">
        <v>18</v>
      </c>
      <c r="L735" s="2" t="s">
        <v>96</v>
      </c>
      <c r="M735" s="4" t="str">
        <f t="shared" si="22"/>
        <v>Involuntary</v>
      </c>
      <c r="N735" s="23" t="s">
        <v>26</v>
      </c>
    </row>
    <row r="736" spans="1:14" x14ac:dyDescent="0.25">
      <c r="A736" s="22">
        <v>4377</v>
      </c>
      <c r="B736" s="3">
        <v>39842</v>
      </c>
      <c r="C736" s="3">
        <v>44132</v>
      </c>
      <c r="D736" s="2">
        <f t="shared" si="23"/>
        <v>11</v>
      </c>
      <c r="E736" s="4" t="str" cm="1">
        <f t="array" ref="E736">_xlfn.IFS(
D736&lt;=5,"Newcomer",
D736&lt;=10,"Proficient",
D736&gt;10,"Expert"
)</f>
        <v>Expert</v>
      </c>
      <c r="F736" s="2" t="s">
        <v>70</v>
      </c>
      <c r="G736" s="5" t="s">
        <v>42</v>
      </c>
      <c r="H736" s="5" t="s">
        <v>105</v>
      </c>
      <c r="I736" s="2">
        <v>6</v>
      </c>
      <c r="J736" s="2" t="s">
        <v>24</v>
      </c>
      <c r="K736" s="2" t="s">
        <v>25</v>
      </c>
      <c r="L736" s="2" t="s">
        <v>96</v>
      </c>
      <c r="M736" s="4" t="str">
        <f t="shared" si="22"/>
        <v>Involuntary</v>
      </c>
      <c r="N736" s="23" t="s">
        <v>26</v>
      </c>
    </row>
    <row r="737" spans="1:14" x14ac:dyDescent="0.25">
      <c r="A737" s="22">
        <v>4381</v>
      </c>
      <c r="B737" s="3">
        <v>38429</v>
      </c>
      <c r="C737" s="3">
        <v>43883</v>
      </c>
      <c r="D737" s="2">
        <f t="shared" si="23"/>
        <v>15</v>
      </c>
      <c r="E737" s="4" t="str" cm="1">
        <f t="array" ref="E737">_xlfn.IFS(
D737&lt;=5,"Newcomer",
D737&lt;=10,"Proficient",
D737&gt;10,"Expert"
)</f>
        <v>Expert</v>
      </c>
      <c r="F737" s="2" t="s">
        <v>101</v>
      </c>
      <c r="G737" s="5" t="s">
        <v>35</v>
      </c>
      <c r="H737" s="5" t="s">
        <v>76</v>
      </c>
      <c r="I737" s="2">
        <v>38</v>
      </c>
      <c r="J737" s="2" t="s">
        <v>17</v>
      </c>
      <c r="K737" s="2" t="s">
        <v>18</v>
      </c>
      <c r="L737" s="2" t="s">
        <v>96</v>
      </c>
      <c r="M737" s="4" t="str">
        <f t="shared" si="22"/>
        <v>Involuntary</v>
      </c>
      <c r="N737" s="23" t="s">
        <v>26</v>
      </c>
    </row>
    <row r="738" spans="1:14" x14ac:dyDescent="0.25">
      <c r="A738" s="22">
        <v>4382</v>
      </c>
      <c r="B738" s="3">
        <v>37708</v>
      </c>
      <c r="C738" s="3">
        <v>44133</v>
      </c>
      <c r="D738" s="2">
        <f t="shared" si="23"/>
        <v>17</v>
      </c>
      <c r="E738" s="4" t="str" cm="1">
        <f t="array" ref="E738">_xlfn.IFS(
D738&lt;=5,"Newcomer",
D738&lt;=10,"Proficient",
D738&gt;10,"Expert"
)</f>
        <v>Expert</v>
      </c>
      <c r="F738" s="2" t="s">
        <v>87</v>
      </c>
      <c r="G738" s="5" t="s">
        <v>42</v>
      </c>
      <c r="H738" s="5" t="s">
        <v>105</v>
      </c>
      <c r="I738" s="2">
        <v>40</v>
      </c>
      <c r="J738" s="2" t="s">
        <v>24</v>
      </c>
      <c r="K738" s="2" t="s">
        <v>25</v>
      </c>
      <c r="L738" s="2" t="s">
        <v>50</v>
      </c>
      <c r="M738" s="4" t="str">
        <f t="shared" si="22"/>
        <v>Voluntary</v>
      </c>
      <c r="N738" s="23" t="s">
        <v>26</v>
      </c>
    </row>
    <row r="739" spans="1:14" x14ac:dyDescent="0.25">
      <c r="A739" s="22">
        <v>4388</v>
      </c>
      <c r="B739" s="3">
        <v>35501</v>
      </c>
      <c r="C739" s="3">
        <v>44021</v>
      </c>
      <c r="D739" s="2">
        <f t="shared" si="23"/>
        <v>23</v>
      </c>
      <c r="E739" s="4" t="str" cm="1">
        <f t="array" ref="E739">_xlfn.IFS(
D739&lt;=5,"Newcomer",
D739&lt;=10,"Proficient",
D739&gt;10,"Expert"
)</f>
        <v>Expert</v>
      </c>
      <c r="F739" s="2" t="s">
        <v>79</v>
      </c>
      <c r="G739" s="5" t="s">
        <v>42</v>
      </c>
      <c r="H739" s="5" t="s">
        <v>105</v>
      </c>
      <c r="I739" s="2">
        <v>25</v>
      </c>
      <c r="J739" s="2" t="s">
        <v>17</v>
      </c>
      <c r="K739" s="2" t="s">
        <v>18</v>
      </c>
      <c r="L739" s="2" t="s">
        <v>96</v>
      </c>
      <c r="M739" s="4" t="str">
        <f t="shared" si="22"/>
        <v>Involuntary</v>
      </c>
      <c r="N739" s="23" t="s">
        <v>26</v>
      </c>
    </row>
    <row r="740" spans="1:14" x14ac:dyDescent="0.25">
      <c r="A740" s="22">
        <v>4389</v>
      </c>
      <c r="B740" s="3">
        <v>36760</v>
      </c>
      <c r="C740" s="3">
        <v>44153</v>
      </c>
      <c r="D740" s="2">
        <f t="shared" si="23"/>
        <v>20</v>
      </c>
      <c r="E740" s="4" t="str" cm="1">
        <f t="array" ref="E740">_xlfn.IFS(
D740&lt;=5,"Newcomer",
D740&lt;=10,"Proficient",
D740&gt;10,"Expert"
)</f>
        <v>Expert</v>
      </c>
      <c r="F740" s="2" t="s">
        <v>44</v>
      </c>
      <c r="G740" s="5" t="s">
        <v>42</v>
      </c>
      <c r="H740" s="5" t="s">
        <v>105</v>
      </c>
      <c r="I740" s="2">
        <v>18</v>
      </c>
      <c r="J740" s="2" t="s">
        <v>24</v>
      </c>
      <c r="K740" s="2" t="s">
        <v>25</v>
      </c>
      <c r="L740" s="2" t="s">
        <v>96</v>
      </c>
      <c r="M740" s="4" t="str">
        <f t="shared" si="22"/>
        <v>Involuntary</v>
      </c>
      <c r="N740" s="23" t="s">
        <v>26</v>
      </c>
    </row>
    <row r="741" spans="1:14" x14ac:dyDescent="0.25">
      <c r="A741" s="22">
        <v>4390</v>
      </c>
      <c r="B741" s="3">
        <v>33886</v>
      </c>
      <c r="C741" s="3">
        <v>43951</v>
      </c>
      <c r="D741" s="2">
        <f t="shared" si="23"/>
        <v>28</v>
      </c>
      <c r="E741" s="4" t="str" cm="1">
        <f t="array" ref="E741">_xlfn.IFS(
D741&lt;=5,"Newcomer",
D741&lt;=10,"Proficient",
D741&gt;10,"Expert"
)</f>
        <v>Expert</v>
      </c>
      <c r="F741" s="2" t="s">
        <v>14</v>
      </c>
      <c r="G741" s="5" t="s">
        <v>35</v>
      </c>
      <c r="H741" s="5" t="s">
        <v>76</v>
      </c>
      <c r="I741" s="2">
        <v>35</v>
      </c>
      <c r="J741" s="2" t="s">
        <v>17</v>
      </c>
      <c r="K741" s="2" t="s">
        <v>18</v>
      </c>
      <c r="L741" s="2" t="s">
        <v>96</v>
      </c>
      <c r="M741" s="4" t="str">
        <f t="shared" si="22"/>
        <v>Involuntary</v>
      </c>
      <c r="N741" s="23" t="s">
        <v>26</v>
      </c>
    </row>
    <row r="742" spans="1:14" x14ac:dyDescent="0.25">
      <c r="A742" s="22">
        <v>4391</v>
      </c>
      <c r="B742" s="3">
        <v>35408</v>
      </c>
      <c r="C742" s="3">
        <v>43871</v>
      </c>
      <c r="D742" s="2">
        <f t="shared" si="23"/>
        <v>24</v>
      </c>
      <c r="E742" s="4" t="str" cm="1">
        <f t="array" ref="E742">_xlfn.IFS(
D742&lt;=5,"Newcomer",
D742&lt;=10,"Proficient",
D742&gt;10,"Expert"
)</f>
        <v>Expert</v>
      </c>
      <c r="F742" s="2" t="s">
        <v>114</v>
      </c>
      <c r="G742" s="5" t="s">
        <v>62</v>
      </c>
      <c r="H742" s="5" t="s">
        <v>63</v>
      </c>
      <c r="I742" s="2">
        <v>27</v>
      </c>
      <c r="J742" s="2" t="s">
        <v>17</v>
      </c>
      <c r="K742" s="2" t="s">
        <v>18</v>
      </c>
      <c r="L742" s="2" t="s">
        <v>96</v>
      </c>
      <c r="M742" s="4" t="str">
        <f t="shared" si="22"/>
        <v>Involuntary</v>
      </c>
      <c r="N742" s="23" t="s">
        <v>26</v>
      </c>
    </row>
    <row r="743" spans="1:14" x14ac:dyDescent="0.25">
      <c r="A743" s="22">
        <v>4394</v>
      </c>
      <c r="B743" s="3">
        <v>33687</v>
      </c>
      <c r="C743" s="3">
        <v>44029</v>
      </c>
      <c r="D743" s="2">
        <f t="shared" si="23"/>
        <v>28</v>
      </c>
      <c r="E743" s="4" t="str" cm="1">
        <f t="array" ref="E743">_xlfn.IFS(
D743&lt;=5,"Newcomer",
D743&lt;=10,"Proficient",
D743&gt;10,"Expert"
)</f>
        <v>Expert</v>
      </c>
      <c r="F743" s="2" t="s">
        <v>104</v>
      </c>
      <c r="G743" s="5" t="s">
        <v>35</v>
      </c>
      <c r="H743" s="5" t="s">
        <v>76</v>
      </c>
      <c r="I743" s="2">
        <v>39</v>
      </c>
      <c r="J743" s="2" t="s">
        <v>17</v>
      </c>
      <c r="K743" s="2" t="s">
        <v>18</v>
      </c>
      <c r="L743" s="2" t="s">
        <v>96</v>
      </c>
      <c r="M743" s="4" t="str">
        <f t="shared" si="22"/>
        <v>Involuntary</v>
      </c>
      <c r="N743" s="23" t="s">
        <v>26</v>
      </c>
    </row>
    <row r="744" spans="1:14" x14ac:dyDescent="0.25">
      <c r="A744" s="22">
        <v>4400</v>
      </c>
      <c r="B744" s="3">
        <v>34229</v>
      </c>
      <c r="C744" s="3">
        <v>43995</v>
      </c>
      <c r="D744" s="2">
        <f t="shared" si="23"/>
        <v>27</v>
      </c>
      <c r="E744" s="4" t="str" cm="1">
        <f t="array" ref="E744">_xlfn.IFS(
D744&lt;=5,"Newcomer",
D744&lt;=10,"Proficient",
D744&gt;10,"Expert"
)</f>
        <v>Expert</v>
      </c>
      <c r="F744" s="2" t="s">
        <v>78</v>
      </c>
      <c r="G744" s="5" t="s">
        <v>42</v>
      </c>
      <c r="H744" s="5" t="s">
        <v>105</v>
      </c>
      <c r="I744" s="2">
        <v>21</v>
      </c>
      <c r="J744" s="2" t="s">
        <v>24</v>
      </c>
      <c r="K744" s="2" t="s">
        <v>25</v>
      </c>
      <c r="L744" s="2" t="s">
        <v>96</v>
      </c>
      <c r="M744" s="4" t="str">
        <f t="shared" si="22"/>
        <v>Involuntary</v>
      </c>
      <c r="N744" s="23" t="s">
        <v>26</v>
      </c>
    </row>
    <row r="745" spans="1:14" x14ac:dyDescent="0.25">
      <c r="A745" s="22">
        <v>4401</v>
      </c>
      <c r="B745" s="3">
        <v>33971</v>
      </c>
      <c r="C745" s="3">
        <v>43849</v>
      </c>
      <c r="D745" s="2">
        <f t="shared" si="23"/>
        <v>27</v>
      </c>
      <c r="E745" s="4" t="str" cm="1">
        <f t="array" ref="E745">_xlfn.IFS(
D745&lt;=5,"Newcomer",
D745&lt;=10,"Proficient",
D745&gt;10,"Expert"
)</f>
        <v>Expert</v>
      </c>
      <c r="F745" s="2" t="s">
        <v>69</v>
      </c>
      <c r="G745" s="5" t="s">
        <v>35</v>
      </c>
      <c r="H745" s="5" t="s">
        <v>76</v>
      </c>
      <c r="I745" s="2">
        <v>28</v>
      </c>
      <c r="J745" s="2" t="s">
        <v>17</v>
      </c>
      <c r="K745" s="2" t="s">
        <v>18</v>
      </c>
      <c r="L745" s="2" t="s">
        <v>96</v>
      </c>
      <c r="M745" s="4" t="str">
        <f t="shared" si="22"/>
        <v>Involuntary</v>
      </c>
      <c r="N745" s="23" t="s">
        <v>26</v>
      </c>
    </row>
    <row r="746" spans="1:14" x14ac:dyDescent="0.25">
      <c r="A746" s="22">
        <v>4406</v>
      </c>
      <c r="B746" s="3">
        <v>37704</v>
      </c>
      <c r="C746" s="3">
        <v>43923</v>
      </c>
      <c r="D746" s="2">
        <f t="shared" si="23"/>
        <v>17</v>
      </c>
      <c r="E746" s="4" t="str" cm="1">
        <f t="array" ref="E746">_xlfn.IFS(
D746&lt;=5,"Newcomer",
D746&lt;=10,"Proficient",
D746&gt;10,"Expert"
)</f>
        <v>Expert</v>
      </c>
      <c r="F746" s="2" t="s">
        <v>101</v>
      </c>
      <c r="G746" s="5" t="s">
        <v>35</v>
      </c>
      <c r="H746" s="5" t="s">
        <v>76</v>
      </c>
      <c r="I746" s="2">
        <v>38</v>
      </c>
      <c r="J746" s="2" t="s">
        <v>24</v>
      </c>
      <c r="K746" s="2" t="s">
        <v>25</v>
      </c>
      <c r="L746" s="2" t="s">
        <v>96</v>
      </c>
      <c r="M746" s="4" t="str">
        <f t="shared" si="22"/>
        <v>Involuntary</v>
      </c>
      <c r="N746" s="23" t="s">
        <v>26</v>
      </c>
    </row>
    <row r="747" spans="1:14" x14ac:dyDescent="0.25">
      <c r="A747" s="22">
        <v>4408</v>
      </c>
      <c r="B747" s="3">
        <v>34657</v>
      </c>
      <c r="C747" s="3">
        <v>44059</v>
      </c>
      <c r="D747" s="2">
        <f t="shared" si="23"/>
        <v>26</v>
      </c>
      <c r="E747" s="4" t="str" cm="1">
        <f t="array" ref="E747">_xlfn.IFS(
D747&lt;=5,"Newcomer",
D747&lt;=10,"Proficient",
D747&gt;10,"Expert"
)</f>
        <v>Expert</v>
      </c>
      <c r="F747" s="2" t="s">
        <v>90</v>
      </c>
      <c r="G747" s="5" t="s">
        <v>42</v>
      </c>
      <c r="H747" s="5" t="s">
        <v>105</v>
      </c>
      <c r="I747" s="2">
        <v>26</v>
      </c>
      <c r="J747" s="2" t="s">
        <v>17</v>
      </c>
      <c r="K747" s="2" t="s">
        <v>18</v>
      </c>
      <c r="L747" s="2" t="s">
        <v>96</v>
      </c>
      <c r="M747" s="4" t="str">
        <f t="shared" si="22"/>
        <v>Involuntary</v>
      </c>
      <c r="N747" s="23" t="s">
        <v>26</v>
      </c>
    </row>
    <row r="748" spans="1:14" x14ac:dyDescent="0.25">
      <c r="A748" s="22">
        <v>4409</v>
      </c>
      <c r="B748" s="3">
        <v>37373</v>
      </c>
      <c r="C748" s="3">
        <v>44016</v>
      </c>
      <c r="D748" s="2">
        <f t="shared" si="23"/>
        <v>18</v>
      </c>
      <c r="E748" s="4" t="str" cm="1">
        <f t="array" ref="E748">_xlfn.IFS(
D748&lt;=5,"Newcomer",
D748&lt;=10,"Proficient",
D748&gt;10,"Expert"
)</f>
        <v>Expert</v>
      </c>
      <c r="F748" s="2" t="s">
        <v>44</v>
      </c>
      <c r="G748" s="5" t="s">
        <v>42</v>
      </c>
      <c r="H748" s="5" t="s">
        <v>105</v>
      </c>
      <c r="I748" s="2">
        <v>18</v>
      </c>
      <c r="J748" s="2" t="s">
        <v>24</v>
      </c>
      <c r="K748" s="2" t="s">
        <v>25</v>
      </c>
      <c r="L748" s="2" t="s">
        <v>96</v>
      </c>
      <c r="M748" s="4" t="str">
        <f t="shared" si="22"/>
        <v>Involuntary</v>
      </c>
      <c r="N748" s="23" t="s">
        <v>26</v>
      </c>
    </row>
    <row r="749" spans="1:14" x14ac:dyDescent="0.25">
      <c r="A749" s="22">
        <v>4412</v>
      </c>
      <c r="B749" s="3">
        <v>33484</v>
      </c>
      <c r="C749" s="3">
        <v>44195</v>
      </c>
      <c r="D749" s="2">
        <f t="shared" si="23"/>
        <v>29</v>
      </c>
      <c r="E749" s="4" t="str" cm="1">
        <f t="array" ref="E749">_xlfn.IFS(
D749&lt;=5,"Newcomer",
D749&lt;=10,"Proficient",
D749&gt;10,"Expert"
)</f>
        <v>Expert</v>
      </c>
      <c r="F749" s="2" t="s">
        <v>14</v>
      </c>
      <c r="G749" s="5" t="s">
        <v>35</v>
      </c>
      <c r="H749" s="5" t="s">
        <v>76</v>
      </c>
      <c r="I749" s="2">
        <v>35</v>
      </c>
      <c r="J749" s="2" t="s">
        <v>17</v>
      </c>
      <c r="K749" s="2" t="s">
        <v>18</v>
      </c>
      <c r="L749" s="2" t="s">
        <v>96</v>
      </c>
      <c r="M749" s="4" t="str">
        <f t="shared" si="22"/>
        <v>Involuntary</v>
      </c>
      <c r="N749" s="23" t="s">
        <v>26</v>
      </c>
    </row>
    <row r="750" spans="1:14" x14ac:dyDescent="0.25">
      <c r="A750" s="22">
        <v>4419</v>
      </c>
      <c r="B750" s="3">
        <v>38177</v>
      </c>
      <c r="C750" s="3">
        <v>43891</v>
      </c>
      <c r="D750" s="2">
        <f t="shared" si="23"/>
        <v>16</v>
      </c>
      <c r="E750" s="4" t="str" cm="1">
        <f t="array" ref="E750">_xlfn.IFS(
D750&lt;=5,"Newcomer",
D750&lt;=10,"Proficient",
D750&gt;10,"Expert"
)</f>
        <v>Expert</v>
      </c>
      <c r="F750" s="2" t="s">
        <v>78</v>
      </c>
      <c r="G750" s="5" t="s">
        <v>42</v>
      </c>
      <c r="H750" s="5" t="s">
        <v>105</v>
      </c>
      <c r="I750" s="2">
        <v>21</v>
      </c>
      <c r="J750" s="2" t="s">
        <v>17</v>
      </c>
      <c r="K750" s="2" t="s">
        <v>18</v>
      </c>
      <c r="L750" s="2" t="s">
        <v>96</v>
      </c>
      <c r="M750" s="4" t="str">
        <f t="shared" si="22"/>
        <v>Involuntary</v>
      </c>
      <c r="N750" s="23" t="s">
        <v>26</v>
      </c>
    </row>
    <row r="751" spans="1:14" x14ac:dyDescent="0.25">
      <c r="A751" s="22">
        <v>4430</v>
      </c>
      <c r="B751" s="3">
        <v>36099</v>
      </c>
      <c r="C751" s="3">
        <v>44077</v>
      </c>
      <c r="D751" s="2">
        <f t="shared" si="23"/>
        <v>22</v>
      </c>
      <c r="E751" s="4" t="str" cm="1">
        <f t="array" ref="E751">_xlfn.IFS(
D751&lt;=5,"Newcomer",
D751&lt;=10,"Proficient",
D751&gt;10,"Expert"
)</f>
        <v>Expert</v>
      </c>
      <c r="F751" s="2" t="s">
        <v>41</v>
      </c>
      <c r="G751" s="5" t="s">
        <v>47</v>
      </c>
      <c r="H751" s="5" t="s">
        <v>95</v>
      </c>
      <c r="I751" s="2">
        <v>15</v>
      </c>
      <c r="J751" s="2" t="s">
        <v>24</v>
      </c>
      <c r="K751" s="2" t="s">
        <v>25</v>
      </c>
      <c r="L751" s="2" t="s">
        <v>96</v>
      </c>
      <c r="M751" s="4" t="str">
        <f t="shared" si="22"/>
        <v>Involuntary</v>
      </c>
      <c r="N751" s="23" t="s">
        <v>26</v>
      </c>
    </row>
    <row r="752" spans="1:14" x14ac:dyDescent="0.25">
      <c r="A752" s="22">
        <v>4431</v>
      </c>
      <c r="B752" s="3">
        <v>41418</v>
      </c>
      <c r="C752" s="3">
        <v>44087</v>
      </c>
      <c r="D752" s="2">
        <f t="shared" si="23"/>
        <v>7</v>
      </c>
      <c r="E752" s="4" t="str" cm="1">
        <f t="array" ref="E752">_xlfn.IFS(
D752&lt;=5,"Newcomer",
D752&lt;=10,"Proficient",
D752&gt;10,"Expert"
)</f>
        <v>Proficient</v>
      </c>
      <c r="F752" s="2" t="s">
        <v>49</v>
      </c>
      <c r="G752" s="5" t="s">
        <v>42</v>
      </c>
      <c r="H752" s="5" t="s">
        <v>105</v>
      </c>
      <c r="I752" s="2">
        <v>12</v>
      </c>
      <c r="J752" s="2" t="s">
        <v>24</v>
      </c>
      <c r="K752" s="2" t="s">
        <v>25</v>
      </c>
      <c r="L752" s="2" t="s">
        <v>96</v>
      </c>
      <c r="M752" s="4" t="str">
        <f t="shared" si="22"/>
        <v>Involuntary</v>
      </c>
      <c r="N752" s="23" t="s">
        <v>26</v>
      </c>
    </row>
    <row r="753" spans="1:14" x14ac:dyDescent="0.25">
      <c r="A753" s="22">
        <v>4432</v>
      </c>
      <c r="B753" s="3">
        <v>38738</v>
      </c>
      <c r="C753" s="3">
        <v>44014</v>
      </c>
      <c r="D753" s="2">
        <f t="shared" si="23"/>
        <v>14</v>
      </c>
      <c r="E753" s="4" t="str" cm="1">
        <f t="array" ref="E753">_xlfn.IFS(
D753&lt;=5,"Newcomer",
D753&lt;=10,"Proficient",
D753&gt;10,"Expert"
)</f>
        <v>Expert</v>
      </c>
      <c r="F753" s="2" t="s">
        <v>101</v>
      </c>
      <c r="G753" s="5" t="s">
        <v>35</v>
      </c>
      <c r="H753" s="5" t="s">
        <v>76</v>
      </c>
      <c r="I753" s="2">
        <v>38</v>
      </c>
      <c r="J753" s="2" t="s">
        <v>17</v>
      </c>
      <c r="K753" s="2" t="s">
        <v>18</v>
      </c>
      <c r="L753" s="2" t="s">
        <v>96</v>
      </c>
      <c r="M753" s="4" t="str">
        <f t="shared" si="22"/>
        <v>Involuntary</v>
      </c>
      <c r="N753" s="23" t="s">
        <v>26</v>
      </c>
    </row>
    <row r="754" spans="1:14" x14ac:dyDescent="0.25">
      <c r="A754" s="22">
        <v>4434</v>
      </c>
      <c r="B754" s="3">
        <v>37595</v>
      </c>
      <c r="C754" s="3">
        <v>44114</v>
      </c>
      <c r="D754" s="2">
        <f t="shared" si="23"/>
        <v>18</v>
      </c>
      <c r="E754" s="4" t="str" cm="1">
        <f t="array" ref="E754">_xlfn.IFS(
D754&lt;=5,"Newcomer",
D754&lt;=10,"Proficient",
D754&gt;10,"Expert"
)</f>
        <v>Expert</v>
      </c>
      <c r="F754" s="2" t="s">
        <v>14</v>
      </c>
      <c r="G754" s="5" t="s">
        <v>35</v>
      </c>
      <c r="H754" s="5" t="s">
        <v>76</v>
      </c>
      <c r="I754" s="2">
        <v>35</v>
      </c>
      <c r="J754" s="2" t="s">
        <v>17</v>
      </c>
      <c r="K754" s="2" t="s">
        <v>18</v>
      </c>
      <c r="L754" s="2" t="s">
        <v>96</v>
      </c>
      <c r="M754" s="4" t="str">
        <f t="shared" si="22"/>
        <v>Involuntary</v>
      </c>
      <c r="N754" s="23" t="s">
        <v>26</v>
      </c>
    </row>
    <row r="755" spans="1:14" x14ac:dyDescent="0.25">
      <c r="A755" s="22">
        <v>4437</v>
      </c>
      <c r="B755" s="3">
        <v>39429</v>
      </c>
      <c r="C755" s="3">
        <v>43942</v>
      </c>
      <c r="D755" s="2">
        <f t="shared" si="23"/>
        <v>13</v>
      </c>
      <c r="E755" s="4" t="str" cm="1">
        <f t="array" ref="E755">_xlfn.IFS(
D755&lt;=5,"Newcomer",
D755&lt;=10,"Proficient",
D755&gt;10,"Expert"
)</f>
        <v>Expert</v>
      </c>
      <c r="F755" s="2" t="s">
        <v>109</v>
      </c>
      <c r="G755" s="5" t="s">
        <v>42</v>
      </c>
      <c r="H755" s="5" t="s">
        <v>105</v>
      </c>
      <c r="I755" s="2">
        <v>22</v>
      </c>
      <c r="J755" s="2" t="s">
        <v>17</v>
      </c>
      <c r="K755" s="2" t="s">
        <v>18</v>
      </c>
      <c r="L755" s="2" t="s">
        <v>50</v>
      </c>
      <c r="M755" s="4" t="str">
        <f t="shared" si="22"/>
        <v>Voluntary</v>
      </c>
      <c r="N755" s="23" t="s">
        <v>26</v>
      </c>
    </row>
    <row r="756" spans="1:14" x14ac:dyDescent="0.25">
      <c r="A756" s="22">
        <v>4439</v>
      </c>
      <c r="B756" s="3">
        <v>36106</v>
      </c>
      <c r="C756" s="3">
        <v>44108</v>
      </c>
      <c r="D756" s="2">
        <f t="shared" si="23"/>
        <v>22</v>
      </c>
      <c r="E756" s="4" t="str" cm="1">
        <f t="array" ref="E756">_xlfn.IFS(
D756&lt;=5,"Newcomer",
D756&lt;=10,"Proficient",
D756&gt;10,"Expert"
)</f>
        <v>Expert</v>
      </c>
      <c r="F756" s="2" t="s">
        <v>89</v>
      </c>
      <c r="G756" s="5" t="s">
        <v>42</v>
      </c>
      <c r="H756" s="5" t="s">
        <v>105</v>
      </c>
      <c r="I756" s="2">
        <v>33</v>
      </c>
      <c r="J756" s="2" t="s">
        <v>24</v>
      </c>
      <c r="K756" s="2" t="s">
        <v>25</v>
      </c>
      <c r="L756" s="2" t="s">
        <v>96</v>
      </c>
      <c r="M756" s="4" t="str">
        <f t="shared" si="22"/>
        <v>Involuntary</v>
      </c>
      <c r="N756" s="23" t="s">
        <v>26</v>
      </c>
    </row>
    <row r="757" spans="1:14" x14ac:dyDescent="0.25">
      <c r="A757" s="22">
        <v>4440</v>
      </c>
      <c r="B757" s="3">
        <v>41939</v>
      </c>
      <c r="C757" s="3">
        <v>44161</v>
      </c>
      <c r="D757" s="2">
        <f t="shared" si="23"/>
        <v>6</v>
      </c>
      <c r="E757" s="4" t="str" cm="1">
        <f t="array" ref="E757">_xlfn.IFS(
D757&lt;=5,"Newcomer",
D757&lt;=10,"Proficient",
D757&gt;10,"Expert"
)</f>
        <v>Proficient</v>
      </c>
      <c r="F757" s="2" t="s">
        <v>41</v>
      </c>
      <c r="G757" s="5" t="s">
        <v>47</v>
      </c>
      <c r="H757" s="5" t="s">
        <v>95</v>
      </c>
      <c r="I757" s="2">
        <v>15</v>
      </c>
      <c r="J757" s="2" t="s">
        <v>24</v>
      </c>
      <c r="K757" s="2" t="s">
        <v>25</v>
      </c>
      <c r="L757" s="2" t="s">
        <v>96</v>
      </c>
      <c r="M757" s="4" t="str">
        <f t="shared" si="22"/>
        <v>Involuntary</v>
      </c>
      <c r="N757" s="23" t="s">
        <v>26</v>
      </c>
    </row>
    <row r="758" spans="1:14" x14ac:dyDescent="0.25">
      <c r="A758" s="22">
        <v>4442</v>
      </c>
      <c r="B758" s="3">
        <v>36709</v>
      </c>
      <c r="C758" s="3">
        <v>44014</v>
      </c>
      <c r="D758" s="2">
        <f t="shared" si="23"/>
        <v>20</v>
      </c>
      <c r="E758" s="4" t="str" cm="1">
        <f t="array" ref="E758">_xlfn.IFS(
D758&lt;=5,"Newcomer",
D758&lt;=10,"Proficient",
D758&gt;10,"Expert"
)</f>
        <v>Expert</v>
      </c>
      <c r="F758" s="2" t="s">
        <v>14</v>
      </c>
      <c r="G758" s="5" t="s">
        <v>35</v>
      </c>
      <c r="H758" s="5" t="s">
        <v>76</v>
      </c>
      <c r="I758" s="2">
        <v>35</v>
      </c>
      <c r="J758" s="2" t="s">
        <v>17</v>
      </c>
      <c r="K758" s="2" t="s">
        <v>18</v>
      </c>
      <c r="L758" s="2" t="s">
        <v>96</v>
      </c>
      <c r="M758" s="4" t="str">
        <f t="shared" si="22"/>
        <v>Involuntary</v>
      </c>
      <c r="N758" s="23" t="s">
        <v>26</v>
      </c>
    </row>
    <row r="759" spans="1:14" x14ac:dyDescent="0.25">
      <c r="A759" s="22">
        <v>4445</v>
      </c>
      <c r="B759" s="3">
        <v>40599</v>
      </c>
      <c r="C759" s="3">
        <v>44089</v>
      </c>
      <c r="D759" s="2">
        <f t="shared" si="23"/>
        <v>9</v>
      </c>
      <c r="E759" s="4" t="str" cm="1">
        <f t="array" ref="E759">_xlfn.IFS(
D759&lt;=5,"Newcomer",
D759&lt;=10,"Proficient",
D759&gt;10,"Expert"
)</f>
        <v>Proficient</v>
      </c>
      <c r="F759" s="2" t="s">
        <v>78</v>
      </c>
      <c r="G759" s="5" t="s">
        <v>42</v>
      </c>
      <c r="H759" s="5" t="s">
        <v>105</v>
      </c>
      <c r="I759" s="2">
        <v>21</v>
      </c>
      <c r="J759" s="2" t="s">
        <v>17</v>
      </c>
      <c r="K759" s="2" t="s">
        <v>18</v>
      </c>
      <c r="L759" s="2" t="s">
        <v>96</v>
      </c>
      <c r="M759" s="4" t="str">
        <f t="shared" si="22"/>
        <v>Involuntary</v>
      </c>
      <c r="N759" s="23" t="s">
        <v>26</v>
      </c>
    </row>
    <row r="760" spans="1:14" x14ac:dyDescent="0.25">
      <c r="A760" s="22">
        <v>4448</v>
      </c>
      <c r="B760" s="3">
        <v>33904</v>
      </c>
      <c r="C760" s="3">
        <v>43893</v>
      </c>
      <c r="D760" s="2">
        <f t="shared" si="23"/>
        <v>28</v>
      </c>
      <c r="E760" s="4" t="str" cm="1">
        <f t="array" ref="E760">_xlfn.IFS(
D760&lt;=5,"Newcomer",
D760&lt;=10,"Proficient",
D760&gt;10,"Expert"
)</f>
        <v>Expert</v>
      </c>
      <c r="F760" s="2" t="s">
        <v>41</v>
      </c>
      <c r="G760" s="5" t="s">
        <v>47</v>
      </c>
      <c r="H760" s="5" t="s">
        <v>95</v>
      </c>
      <c r="I760" s="2">
        <v>15</v>
      </c>
      <c r="J760" s="2" t="s">
        <v>17</v>
      </c>
      <c r="K760" s="2" t="s">
        <v>18</v>
      </c>
      <c r="L760" s="2" t="s">
        <v>96</v>
      </c>
      <c r="M760" s="4" t="str">
        <f t="shared" si="22"/>
        <v>Involuntary</v>
      </c>
      <c r="N760" s="23" t="s">
        <v>26</v>
      </c>
    </row>
    <row r="761" spans="1:14" x14ac:dyDescent="0.25">
      <c r="A761" s="22">
        <v>4449</v>
      </c>
      <c r="B761" s="3">
        <v>35000</v>
      </c>
      <c r="C761" s="3">
        <v>43947</v>
      </c>
      <c r="D761" s="2">
        <f t="shared" si="23"/>
        <v>25</v>
      </c>
      <c r="E761" s="4" t="str" cm="1">
        <f t="array" ref="E761">_xlfn.IFS(
D761&lt;=5,"Newcomer",
D761&lt;=10,"Proficient",
D761&gt;10,"Expert"
)</f>
        <v>Expert</v>
      </c>
      <c r="F761" s="2" t="s">
        <v>70</v>
      </c>
      <c r="G761" s="5" t="s">
        <v>42</v>
      </c>
      <c r="H761" s="5" t="s">
        <v>105</v>
      </c>
      <c r="I761" s="2">
        <v>6</v>
      </c>
      <c r="J761" s="2" t="s">
        <v>24</v>
      </c>
      <c r="K761" s="2" t="s">
        <v>25</v>
      </c>
      <c r="L761" s="2" t="s">
        <v>96</v>
      </c>
      <c r="M761" s="4" t="str">
        <f t="shared" si="22"/>
        <v>Involuntary</v>
      </c>
      <c r="N761" s="23" t="s">
        <v>26</v>
      </c>
    </row>
    <row r="762" spans="1:14" x14ac:dyDescent="0.25">
      <c r="A762" s="22">
        <v>4450</v>
      </c>
      <c r="B762" s="3">
        <v>37934</v>
      </c>
      <c r="C762" s="3">
        <v>44037</v>
      </c>
      <c r="D762" s="2">
        <f t="shared" si="23"/>
        <v>17</v>
      </c>
      <c r="E762" s="4" t="str" cm="1">
        <f t="array" ref="E762">_xlfn.IFS(
D762&lt;=5,"Newcomer",
D762&lt;=10,"Proficient",
D762&gt;10,"Expert"
)</f>
        <v>Expert</v>
      </c>
      <c r="F762" s="2" t="s">
        <v>78</v>
      </c>
      <c r="G762" s="5" t="s">
        <v>42</v>
      </c>
      <c r="H762" s="5" t="s">
        <v>105</v>
      </c>
      <c r="I762" s="2">
        <v>21</v>
      </c>
      <c r="J762" s="2" t="s">
        <v>17</v>
      </c>
      <c r="K762" s="2" t="s">
        <v>18</v>
      </c>
      <c r="L762" s="2" t="s">
        <v>96</v>
      </c>
      <c r="M762" s="4" t="str">
        <f t="shared" si="22"/>
        <v>Involuntary</v>
      </c>
      <c r="N762" s="23" t="s">
        <v>26</v>
      </c>
    </row>
    <row r="763" spans="1:14" x14ac:dyDescent="0.25">
      <c r="A763" s="22">
        <v>4451</v>
      </c>
      <c r="B763" s="3">
        <v>40917</v>
      </c>
      <c r="C763" s="3">
        <v>44026</v>
      </c>
      <c r="D763" s="2">
        <f t="shared" si="23"/>
        <v>8</v>
      </c>
      <c r="E763" s="4" t="str" cm="1">
        <f t="array" ref="E763">_xlfn.IFS(
D763&lt;=5,"Newcomer",
D763&lt;=10,"Proficient",
D763&gt;10,"Expert"
)</f>
        <v>Proficient</v>
      </c>
      <c r="F763" s="2" t="s">
        <v>101</v>
      </c>
      <c r="G763" s="5" t="s">
        <v>35</v>
      </c>
      <c r="H763" s="5" t="s">
        <v>76</v>
      </c>
      <c r="I763" s="2">
        <v>38</v>
      </c>
      <c r="J763" s="2" t="s">
        <v>24</v>
      </c>
      <c r="K763" s="2" t="s">
        <v>25</v>
      </c>
      <c r="L763" s="2" t="s">
        <v>96</v>
      </c>
      <c r="M763" s="4" t="str">
        <f t="shared" si="22"/>
        <v>Involuntary</v>
      </c>
      <c r="N763" s="23" t="s">
        <v>26</v>
      </c>
    </row>
    <row r="764" spans="1:14" x14ac:dyDescent="0.25">
      <c r="A764" s="22">
        <v>4458</v>
      </c>
      <c r="B764" s="3">
        <v>41395</v>
      </c>
      <c r="C764" s="3">
        <v>44175</v>
      </c>
      <c r="D764" s="2">
        <f t="shared" si="23"/>
        <v>7</v>
      </c>
      <c r="E764" s="4" t="str" cm="1">
        <f t="array" ref="E764">_xlfn.IFS(
D764&lt;=5,"Newcomer",
D764&lt;=10,"Proficient",
D764&gt;10,"Expert"
)</f>
        <v>Proficient</v>
      </c>
      <c r="F764" s="2" t="s">
        <v>14</v>
      </c>
      <c r="G764" s="5" t="s">
        <v>35</v>
      </c>
      <c r="H764" s="5" t="s">
        <v>76</v>
      </c>
      <c r="I764" s="2">
        <v>35</v>
      </c>
      <c r="J764" s="2" t="s">
        <v>24</v>
      </c>
      <c r="K764" s="2" t="s">
        <v>25</v>
      </c>
      <c r="L764" s="2" t="s">
        <v>96</v>
      </c>
      <c r="M764" s="4" t="str">
        <f t="shared" si="22"/>
        <v>Involuntary</v>
      </c>
      <c r="N764" s="23" t="s">
        <v>26</v>
      </c>
    </row>
    <row r="765" spans="1:14" x14ac:dyDescent="0.25">
      <c r="A765" s="22">
        <v>4461</v>
      </c>
      <c r="B765" s="3">
        <v>41213</v>
      </c>
      <c r="C765" s="3">
        <v>44150</v>
      </c>
      <c r="D765" s="2">
        <f t="shared" si="23"/>
        <v>8</v>
      </c>
      <c r="E765" s="4" t="str" cm="1">
        <f t="array" ref="E765">_xlfn.IFS(
D765&lt;=5,"Newcomer",
D765&lt;=10,"Proficient",
D765&gt;10,"Expert"
)</f>
        <v>Proficient</v>
      </c>
      <c r="F765" s="2" t="s">
        <v>14</v>
      </c>
      <c r="G765" s="5" t="s">
        <v>35</v>
      </c>
      <c r="H765" s="5" t="s">
        <v>76</v>
      </c>
      <c r="I765" s="2">
        <v>35</v>
      </c>
      <c r="J765" s="2" t="s">
        <v>17</v>
      </c>
      <c r="K765" s="2" t="s">
        <v>18</v>
      </c>
      <c r="L765" s="2" t="s">
        <v>96</v>
      </c>
      <c r="M765" s="4" t="str">
        <f t="shared" si="22"/>
        <v>Involuntary</v>
      </c>
      <c r="N765" s="23" t="s">
        <v>26</v>
      </c>
    </row>
    <row r="766" spans="1:14" x14ac:dyDescent="0.25">
      <c r="A766" s="22">
        <v>4465</v>
      </c>
      <c r="B766" s="3">
        <v>33059</v>
      </c>
      <c r="C766" s="3">
        <v>43951</v>
      </c>
      <c r="D766" s="2">
        <f t="shared" si="23"/>
        <v>30</v>
      </c>
      <c r="E766" s="4" t="str" cm="1">
        <f t="array" ref="E766">_xlfn.IFS(
D766&lt;=5,"Newcomer",
D766&lt;=10,"Proficient",
D766&gt;10,"Expert"
)</f>
        <v>Expert</v>
      </c>
      <c r="F766" s="2" t="s">
        <v>41</v>
      </c>
      <c r="G766" s="5" t="s">
        <v>47</v>
      </c>
      <c r="H766" s="5" t="s">
        <v>95</v>
      </c>
      <c r="I766" s="2">
        <v>15</v>
      </c>
      <c r="J766" s="2" t="s">
        <v>17</v>
      </c>
      <c r="K766" s="2" t="s">
        <v>18</v>
      </c>
      <c r="L766" s="2" t="s">
        <v>96</v>
      </c>
      <c r="M766" s="4" t="str">
        <f t="shared" si="22"/>
        <v>Involuntary</v>
      </c>
      <c r="N766" s="23" t="s">
        <v>26</v>
      </c>
    </row>
    <row r="767" spans="1:14" x14ac:dyDescent="0.25">
      <c r="A767" s="22">
        <v>4466</v>
      </c>
      <c r="B767" s="3">
        <v>35811</v>
      </c>
      <c r="C767" s="3">
        <v>43879</v>
      </c>
      <c r="D767" s="2">
        <f t="shared" si="23"/>
        <v>22</v>
      </c>
      <c r="E767" s="4" t="str" cm="1">
        <f t="array" ref="E767">_xlfn.IFS(
D767&lt;=5,"Newcomer",
D767&lt;=10,"Proficient",
D767&gt;10,"Expert"
)</f>
        <v>Expert</v>
      </c>
      <c r="F767" s="2" t="s">
        <v>30</v>
      </c>
      <c r="G767" s="5" t="s">
        <v>42</v>
      </c>
      <c r="H767" s="5" t="s">
        <v>105</v>
      </c>
      <c r="I767" s="2">
        <v>37</v>
      </c>
      <c r="J767" s="2" t="s">
        <v>24</v>
      </c>
      <c r="K767" s="2" t="s">
        <v>25</v>
      </c>
      <c r="L767" s="2" t="s">
        <v>96</v>
      </c>
      <c r="M767" s="4" t="str">
        <f t="shared" si="22"/>
        <v>Involuntary</v>
      </c>
      <c r="N767" s="23" t="s">
        <v>26</v>
      </c>
    </row>
    <row r="768" spans="1:14" x14ac:dyDescent="0.25">
      <c r="A768" s="22">
        <v>4473</v>
      </c>
      <c r="B768" s="3">
        <v>39896</v>
      </c>
      <c r="C768" s="3">
        <v>43893</v>
      </c>
      <c r="D768" s="2">
        <f t="shared" si="23"/>
        <v>11</v>
      </c>
      <c r="E768" s="4" t="str" cm="1">
        <f t="array" ref="E768">_xlfn.IFS(
D768&lt;=5,"Newcomer",
D768&lt;=10,"Proficient",
D768&gt;10,"Expert"
)</f>
        <v>Expert</v>
      </c>
      <c r="F768" s="2" t="s">
        <v>66</v>
      </c>
      <c r="G768" s="5" t="s">
        <v>42</v>
      </c>
      <c r="H768" s="5" t="s">
        <v>105</v>
      </c>
      <c r="I768" s="2">
        <v>36</v>
      </c>
      <c r="J768" s="2" t="s">
        <v>17</v>
      </c>
      <c r="K768" s="2" t="s">
        <v>18</v>
      </c>
      <c r="L768" s="2" t="s">
        <v>96</v>
      </c>
      <c r="M768" s="4" t="str">
        <f t="shared" si="22"/>
        <v>Involuntary</v>
      </c>
      <c r="N768" s="23" t="s">
        <v>26</v>
      </c>
    </row>
    <row r="769" spans="1:14" x14ac:dyDescent="0.25">
      <c r="A769" s="22">
        <v>4474</v>
      </c>
      <c r="B769" s="3">
        <v>39974</v>
      </c>
      <c r="C769" s="3">
        <v>43982</v>
      </c>
      <c r="D769" s="2">
        <f t="shared" si="23"/>
        <v>11</v>
      </c>
      <c r="E769" s="4" t="str" cm="1">
        <f t="array" ref="E769">_xlfn.IFS(
D769&lt;=5,"Newcomer",
D769&lt;=10,"Proficient",
D769&gt;10,"Expert"
)</f>
        <v>Expert</v>
      </c>
      <c r="F769" s="2" t="s">
        <v>44</v>
      </c>
      <c r="G769" s="5" t="s">
        <v>42</v>
      </c>
      <c r="H769" s="5" t="s">
        <v>105</v>
      </c>
      <c r="I769" s="2">
        <v>18</v>
      </c>
      <c r="J769" s="2" t="s">
        <v>17</v>
      </c>
      <c r="K769" s="2" t="s">
        <v>18</v>
      </c>
      <c r="L769" s="2" t="s">
        <v>96</v>
      </c>
      <c r="M769" s="4" t="str">
        <f t="shared" si="22"/>
        <v>Involuntary</v>
      </c>
      <c r="N769" s="23" t="s">
        <v>26</v>
      </c>
    </row>
    <row r="770" spans="1:14" x14ac:dyDescent="0.25">
      <c r="A770" s="22">
        <v>4478</v>
      </c>
      <c r="B770" s="3">
        <v>41546</v>
      </c>
      <c r="C770" s="3">
        <v>43844</v>
      </c>
      <c r="D770" s="2">
        <f t="shared" si="23"/>
        <v>7</v>
      </c>
      <c r="E770" s="4" t="str" cm="1">
        <f t="array" ref="E770">_xlfn.IFS(
D770&lt;=5,"Newcomer",
D770&lt;=10,"Proficient",
D770&gt;10,"Expert"
)</f>
        <v>Proficient</v>
      </c>
      <c r="F770" s="2" t="s">
        <v>91</v>
      </c>
      <c r="G770" s="5" t="s">
        <v>42</v>
      </c>
      <c r="H770" s="5" t="s">
        <v>105</v>
      </c>
      <c r="I770" s="2">
        <v>29</v>
      </c>
      <c r="J770" s="2" t="s">
        <v>17</v>
      </c>
      <c r="K770" s="2" t="s">
        <v>18</v>
      </c>
      <c r="L770" s="2" t="s">
        <v>96</v>
      </c>
      <c r="M770" s="4" t="str">
        <f t="shared" ref="M770:M833" si="24">IF(OR(L770="Retirement",L770="Resignation"),"Voluntary","Involuntary")</f>
        <v>Involuntary</v>
      </c>
      <c r="N770" s="23" t="s">
        <v>26</v>
      </c>
    </row>
    <row r="771" spans="1:14" x14ac:dyDescent="0.25">
      <c r="A771" s="22">
        <v>4479</v>
      </c>
      <c r="B771" s="3">
        <v>37987</v>
      </c>
      <c r="C771" s="3">
        <v>43891</v>
      </c>
      <c r="D771" s="2">
        <f t="shared" ref="D771:D834" si="25">YEAR(C771)-YEAR(B771)</f>
        <v>16</v>
      </c>
      <c r="E771" s="4" t="str" cm="1">
        <f t="array" ref="E771">_xlfn.IFS(
D771&lt;=5,"Newcomer",
D771&lt;=10,"Proficient",
D771&gt;10,"Expert"
)</f>
        <v>Expert</v>
      </c>
      <c r="F771" s="2" t="s">
        <v>41</v>
      </c>
      <c r="G771" s="5" t="s">
        <v>47</v>
      </c>
      <c r="H771" s="5" t="s">
        <v>95</v>
      </c>
      <c r="I771" s="2">
        <v>15</v>
      </c>
      <c r="J771" s="2" t="s">
        <v>24</v>
      </c>
      <c r="K771" s="2" t="s">
        <v>25</v>
      </c>
      <c r="L771" s="2" t="s">
        <v>96</v>
      </c>
      <c r="M771" s="4" t="str">
        <f t="shared" si="24"/>
        <v>Involuntary</v>
      </c>
      <c r="N771" s="23" t="s">
        <v>26</v>
      </c>
    </row>
    <row r="772" spans="1:14" x14ac:dyDescent="0.25">
      <c r="A772" s="22">
        <v>4480</v>
      </c>
      <c r="B772" s="3">
        <v>35181</v>
      </c>
      <c r="C772" s="3">
        <v>44151</v>
      </c>
      <c r="D772" s="2">
        <f t="shared" si="25"/>
        <v>24</v>
      </c>
      <c r="E772" s="4" t="str" cm="1">
        <f t="array" ref="E772">_xlfn.IFS(
D772&lt;=5,"Newcomer",
D772&lt;=10,"Proficient",
D772&gt;10,"Expert"
)</f>
        <v>Expert</v>
      </c>
      <c r="F772" s="2" t="s">
        <v>44</v>
      </c>
      <c r="G772" s="5" t="s">
        <v>42</v>
      </c>
      <c r="H772" s="5" t="s">
        <v>105</v>
      </c>
      <c r="I772" s="2">
        <v>18</v>
      </c>
      <c r="J772" s="2" t="s">
        <v>17</v>
      </c>
      <c r="K772" s="2" t="s">
        <v>18</v>
      </c>
      <c r="L772" s="2" t="s">
        <v>96</v>
      </c>
      <c r="M772" s="4" t="str">
        <f t="shared" si="24"/>
        <v>Involuntary</v>
      </c>
      <c r="N772" s="23" t="s">
        <v>26</v>
      </c>
    </row>
    <row r="773" spans="1:14" x14ac:dyDescent="0.25">
      <c r="A773" s="22">
        <v>4481</v>
      </c>
      <c r="B773" s="3">
        <v>41606</v>
      </c>
      <c r="C773" s="3">
        <v>44090</v>
      </c>
      <c r="D773" s="2">
        <f t="shared" si="25"/>
        <v>7</v>
      </c>
      <c r="E773" s="4" t="str" cm="1">
        <f t="array" ref="E773">_xlfn.IFS(
D773&lt;=5,"Newcomer",
D773&lt;=10,"Proficient",
D773&gt;10,"Expert"
)</f>
        <v>Proficient</v>
      </c>
      <c r="F773" s="2" t="s">
        <v>14</v>
      </c>
      <c r="G773" s="5" t="s">
        <v>35</v>
      </c>
      <c r="H773" s="5" t="s">
        <v>76</v>
      </c>
      <c r="I773" s="2">
        <v>35</v>
      </c>
      <c r="J773" s="2" t="s">
        <v>24</v>
      </c>
      <c r="K773" s="2" t="s">
        <v>25</v>
      </c>
      <c r="L773" s="2" t="s">
        <v>96</v>
      </c>
      <c r="M773" s="4" t="str">
        <f t="shared" si="24"/>
        <v>Involuntary</v>
      </c>
      <c r="N773" s="23" t="s">
        <v>26</v>
      </c>
    </row>
    <row r="774" spans="1:14" x14ac:dyDescent="0.25">
      <c r="A774" s="22">
        <v>4482</v>
      </c>
      <c r="B774" s="3">
        <v>34820</v>
      </c>
      <c r="C774" s="3">
        <v>43988</v>
      </c>
      <c r="D774" s="2">
        <f t="shared" si="25"/>
        <v>25</v>
      </c>
      <c r="E774" s="4" t="str" cm="1">
        <f t="array" ref="E774">_xlfn.IFS(
D774&lt;=5,"Newcomer",
D774&lt;=10,"Proficient",
D774&gt;10,"Expert"
)</f>
        <v>Expert</v>
      </c>
      <c r="F774" s="2" t="s">
        <v>115</v>
      </c>
      <c r="G774" s="5" t="s">
        <v>42</v>
      </c>
      <c r="H774" s="5" t="s">
        <v>105</v>
      </c>
      <c r="I774" s="2">
        <v>17</v>
      </c>
      <c r="J774" s="2" t="s">
        <v>17</v>
      </c>
      <c r="K774" s="2" t="s">
        <v>18</v>
      </c>
      <c r="L774" s="2" t="s">
        <v>96</v>
      </c>
      <c r="M774" s="4" t="str">
        <f t="shared" si="24"/>
        <v>Involuntary</v>
      </c>
      <c r="N774" s="23" t="s">
        <v>26</v>
      </c>
    </row>
    <row r="775" spans="1:14" x14ac:dyDescent="0.25">
      <c r="A775" s="22">
        <v>4486</v>
      </c>
      <c r="B775" s="3">
        <v>39631</v>
      </c>
      <c r="C775" s="3">
        <v>44189</v>
      </c>
      <c r="D775" s="2">
        <f t="shared" si="25"/>
        <v>12</v>
      </c>
      <c r="E775" s="4" t="str" cm="1">
        <f t="array" ref="E775">_xlfn.IFS(
D775&lt;=5,"Newcomer",
D775&lt;=10,"Proficient",
D775&gt;10,"Expert"
)</f>
        <v>Expert</v>
      </c>
      <c r="F775" s="2" t="s">
        <v>81</v>
      </c>
      <c r="G775" s="5" t="s">
        <v>42</v>
      </c>
      <c r="H775" s="5" t="s">
        <v>105</v>
      </c>
      <c r="I775" s="2">
        <v>5</v>
      </c>
      <c r="J775" s="2" t="s">
        <v>17</v>
      </c>
      <c r="K775" s="2" t="s">
        <v>18</v>
      </c>
      <c r="L775" s="2" t="s">
        <v>96</v>
      </c>
      <c r="M775" s="4" t="str">
        <f t="shared" si="24"/>
        <v>Involuntary</v>
      </c>
      <c r="N775" s="23" t="s">
        <v>26</v>
      </c>
    </row>
    <row r="776" spans="1:14" x14ac:dyDescent="0.25">
      <c r="A776" s="22">
        <v>4488</v>
      </c>
      <c r="B776" s="3">
        <v>41677</v>
      </c>
      <c r="C776" s="3">
        <v>43988</v>
      </c>
      <c r="D776" s="2">
        <f t="shared" si="25"/>
        <v>6</v>
      </c>
      <c r="E776" s="4" t="str" cm="1">
        <f t="array" ref="E776">_xlfn.IFS(
D776&lt;=5,"Newcomer",
D776&lt;=10,"Proficient",
D776&gt;10,"Expert"
)</f>
        <v>Proficient</v>
      </c>
      <c r="F776" s="2" t="s">
        <v>90</v>
      </c>
      <c r="G776" s="5" t="s">
        <v>42</v>
      </c>
      <c r="H776" s="5" t="s">
        <v>105</v>
      </c>
      <c r="I776" s="2">
        <v>26</v>
      </c>
      <c r="J776" s="2" t="s">
        <v>17</v>
      </c>
      <c r="K776" s="2" t="s">
        <v>18</v>
      </c>
      <c r="L776" s="2" t="s">
        <v>96</v>
      </c>
      <c r="M776" s="4" t="str">
        <f t="shared" si="24"/>
        <v>Involuntary</v>
      </c>
      <c r="N776" s="23" t="s">
        <v>26</v>
      </c>
    </row>
    <row r="777" spans="1:14" x14ac:dyDescent="0.25">
      <c r="A777" s="22">
        <v>4491</v>
      </c>
      <c r="B777" s="3">
        <v>35818</v>
      </c>
      <c r="C777" s="3">
        <v>44097</v>
      </c>
      <c r="D777" s="2">
        <f t="shared" si="25"/>
        <v>22</v>
      </c>
      <c r="E777" s="4" t="str" cm="1">
        <f t="array" ref="E777">_xlfn.IFS(
D777&lt;=5,"Newcomer",
D777&lt;=10,"Proficient",
D777&gt;10,"Expert"
)</f>
        <v>Expert</v>
      </c>
      <c r="F777" s="2" t="s">
        <v>30</v>
      </c>
      <c r="G777" s="5" t="s">
        <v>42</v>
      </c>
      <c r="H777" s="5" t="s">
        <v>105</v>
      </c>
      <c r="I777" s="2">
        <v>37</v>
      </c>
      <c r="J777" s="2" t="s">
        <v>24</v>
      </c>
      <c r="K777" s="2" t="s">
        <v>25</v>
      </c>
      <c r="L777" s="2" t="s">
        <v>96</v>
      </c>
      <c r="M777" s="4" t="str">
        <f t="shared" si="24"/>
        <v>Involuntary</v>
      </c>
      <c r="N777" s="23" t="s">
        <v>26</v>
      </c>
    </row>
    <row r="778" spans="1:14" x14ac:dyDescent="0.25">
      <c r="A778" s="22">
        <v>4493</v>
      </c>
      <c r="B778" s="3">
        <v>37432</v>
      </c>
      <c r="C778" s="3">
        <v>43837</v>
      </c>
      <c r="D778" s="2">
        <f t="shared" si="25"/>
        <v>18</v>
      </c>
      <c r="E778" s="4" t="str" cm="1">
        <f t="array" ref="E778">_xlfn.IFS(
D778&lt;=5,"Newcomer",
D778&lt;=10,"Proficient",
D778&gt;10,"Expert"
)</f>
        <v>Expert</v>
      </c>
      <c r="F778" s="2" t="s">
        <v>77</v>
      </c>
      <c r="G778" s="5" t="s">
        <v>42</v>
      </c>
      <c r="H778" s="5" t="s">
        <v>105</v>
      </c>
      <c r="I778" s="2">
        <v>30</v>
      </c>
      <c r="J778" s="2" t="s">
        <v>17</v>
      </c>
      <c r="K778" s="2" t="s">
        <v>18</v>
      </c>
      <c r="L778" s="2" t="s">
        <v>96</v>
      </c>
      <c r="M778" s="4" t="str">
        <f t="shared" si="24"/>
        <v>Involuntary</v>
      </c>
      <c r="N778" s="23" t="s">
        <v>26</v>
      </c>
    </row>
    <row r="779" spans="1:14" x14ac:dyDescent="0.25">
      <c r="A779" s="22">
        <v>4495</v>
      </c>
      <c r="B779" s="3">
        <v>38187</v>
      </c>
      <c r="C779" s="3">
        <v>44042</v>
      </c>
      <c r="D779" s="2">
        <f t="shared" si="25"/>
        <v>16</v>
      </c>
      <c r="E779" s="4" t="str" cm="1">
        <f t="array" ref="E779">_xlfn.IFS(
D779&lt;=5,"Newcomer",
D779&lt;=10,"Proficient",
D779&gt;10,"Expert"
)</f>
        <v>Expert</v>
      </c>
      <c r="F779" s="2" t="s">
        <v>14</v>
      </c>
      <c r="G779" s="5" t="s">
        <v>35</v>
      </c>
      <c r="H779" s="5" t="s">
        <v>76</v>
      </c>
      <c r="I779" s="2">
        <v>35</v>
      </c>
      <c r="J779" s="2" t="s">
        <v>17</v>
      </c>
      <c r="K779" s="2" t="s">
        <v>18</v>
      </c>
      <c r="L779" s="2" t="s">
        <v>96</v>
      </c>
      <c r="M779" s="4" t="str">
        <f t="shared" si="24"/>
        <v>Involuntary</v>
      </c>
      <c r="N779" s="23" t="s">
        <v>26</v>
      </c>
    </row>
    <row r="780" spans="1:14" x14ac:dyDescent="0.25">
      <c r="A780" s="22">
        <v>4496</v>
      </c>
      <c r="B780" s="3">
        <v>41567</v>
      </c>
      <c r="C780" s="3">
        <v>44119</v>
      </c>
      <c r="D780" s="2">
        <f t="shared" si="25"/>
        <v>7</v>
      </c>
      <c r="E780" s="4" t="str" cm="1">
        <f t="array" ref="E780">_xlfn.IFS(
D780&lt;=5,"Newcomer",
D780&lt;=10,"Proficient",
D780&gt;10,"Expert"
)</f>
        <v>Proficient</v>
      </c>
      <c r="F780" s="2" t="s">
        <v>81</v>
      </c>
      <c r="G780" s="5" t="s">
        <v>42</v>
      </c>
      <c r="H780" s="5" t="s">
        <v>105</v>
      </c>
      <c r="I780" s="2">
        <v>5</v>
      </c>
      <c r="J780" s="2" t="s">
        <v>17</v>
      </c>
      <c r="K780" s="2" t="s">
        <v>18</v>
      </c>
      <c r="L780" s="2" t="s">
        <v>96</v>
      </c>
      <c r="M780" s="4" t="str">
        <f t="shared" si="24"/>
        <v>Involuntary</v>
      </c>
      <c r="N780" s="23" t="s">
        <v>26</v>
      </c>
    </row>
    <row r="781" spans="1:14" x14ac:dyDescent="0.25">
      <c r="A781" s="22">
        <v>4497</v>
      </c>
      <c r="B781" s="3">
        <v>37631</v>
      </c>
      <c r="C781" s="3">
        <v>44170</v>
      </c>
      <c r="D781" s="2">
        <f t="shared" si="25"/>
        <v>17</v>
      </c>
      <c r="E781" s="4" t="str" cm="1">
        <f t="array" ref="E781">_xlfn.IFS(
D781&lt;=5,"Newcomer",
D781&lt;=10,"Proficient",
D781&gt;10,"Expert"
)</f>
        <v>Expert</v>
      </c>
      <c r="F781" s="2" t="s">
        <v>14</v>
      </c>
      <c r="G781" s="5" t="s">
        <v>35</v>
      </c>
      <c r="H781" s="5" t="s">
        <v>76</v>
      </c>
      <c r="I781" s="2">
        <v>35</v>
      </c>
      <c r="J781" s="2" t="s">
        <v>24</v>
      </c>
      <c r="K781" s="2" t="s">
        <v>25</v>
      </c>
      <c r="L781" s="2" t="s">
        <v>96</v>
      </c>
      <c r="M781" s="4" t="str">
        <f t="shared" si="24"/>
        <v>Involuntary</v>
      </c>
      <c r="N781" s="23" t="s">
        <v>26</v>
      </c>
    </row>
    <row r="782" spans="1:14" x14ac:dyDescent="0.25">
      <c r="A782" s="22">
        <v>4500</v>
      </c>
      <c r="B782" s="3">
        <v>33945</v>
      </c>
      <c r="C782" s="3">
        <v>43843</v>
      </c>
      <c r="D782" s="2">
        <f t="shared" si="25"/>
        <v>28</v>
      </c>
      <c r="E782" s="4" t="str" cm="1">
        <f t="array" ref="E782">_xlfn.IFS(
D782&lt;=5,"Newcomer",
D782&lt;=10,"Proficient",
D782&gt;10,"Expert"
)</f>
        <v>Expert</v>
      </c>
      <c r="F782" s="2" t="s">
        <v>14</v>
      </c>
      <c r="G782" s="5" t="s">
        <v>35</v>
      </c>
      <c r="H782" s="5" t="s">
        <v>76</v>
      </c>
      <c r="I782" s="2">
        <v>35</v>
      </c>
      <c r="J782" s="2" t="s">
        <v>24</v>
      </c>
      <c r="K782" s="2" t="s">
        <v>25</v>
      </c>
      <c r="L782" s="2" t="s">
        <v>96</v>
      </c>
      <c r="M782" s="4" t="str">
        <f t="shared" si="24"/>
        <v>Involuntary</v>
      </c>
      <c r="N782" s="23" t="s">
        <v>26</v>
      </c>
    </row>
    <row r="783" spans="1:14" x14ac:dyDescent="0.25">
      <c r="A783" s="22">
        <v>4501</v>
      </c>
      <c r="B783" s="3">
        <v>34493</v>
      </c>
      <c r="C783" s="3">
        <v>43904</v>
      </c>
      <c r="D783" s="2">
        <f t="shared" si="25"/>
        <v>26</v>
      </c>
      <c r="E783" s="4" t="str" cm="1">
        <f t="array" ref="E783">_xlfn.IFS(
D783&lt;=5,"Newcomer",
D783&lt;=10,"Proficient",
D783&gt;10,"Expert"
)</f>
        <v>Expert</v>
      </c>
      <c r="F783" s="2" t="s">
        <v>30</v>
      </c>
      <c r="G783" s="5" t="s">
        <v>42</v>
      </c>
      <c r="H783" s="5" t="s">
        <v>105</v>
      </c>
      <c r="I783" s="2">
        <v>37</v>
      </c>
      <c r="J783" s="2" t="s">
        <v>17</v>
      </c>
      <c r="K783" s="2" t="s">
        <v>18</v>
      </c>
      <c r="L783" s="2" t="s">
        <v>96</v>
      </c>
      <c r="M783" s="4" t="str">
        <f t="shared" si="24"/>
        <v>Involuntary</v>
      </c>
      <c r="N783" s="23" t="s">
        <v>26</v>
      </c>
    </row>
    <row r="784" spans="1:14" x14ac:dyDescent="0.25">
      <c r="A784" s="22">
        <v>4505</v>
      </c>
      <c r="B784" s="3">
        <v>34791</v>
      </c>
      <c r="C784" s="3">
        <v>43915</v>
      </c>
      <c r="D784" s="2">
        <f t="shared" si="25"/>
        <v>25</v>
      </c>
      <c r="E784" s="4" t="str" cm="1">
        <f t="array" ref="E784">_xlfn.IFS(
D784&lt;=5,"Newcomer",
D784&lt;=10,"Proficient",
D784&gt;10,"Expert"
)</f>
        <v>Expert</v>
      </c>
      <c r="F784" s="2" t="s">
        <v>14</v>
      </c>
      <c r="G784" s="5" t="s">
        <v>35</v>
      </c>
      <c r="H784" s="5" t="s">
        <v>76</v>
      </c>
      <c r="I784" s="2">
        <v>35</v>
      </c>
      <c r="J784" s="2" t="s">
        <v>24</v>
      </c>
      <c r="K784" s="2" t="s">
        <v>25</v>
      </c>
      <c r="L784" s="2" t="s">
        <v>96</v>
      </c>
      <c r="M784" s="4" t="str">
        <f t="shared" si="24"/>
        <v>Involuntary</v>
      </c>
      <c r="N784" s="23" t="s">
        <v>26</v>
      </c>
    </row>
    <row r="785" spans="1:14" x14ac:dyDescent="0.25">
      <c r="A785" s="22">
        <v>4506</v>
      </c>
      <c r="B785" s="3">
        <v>35044</v>
      </c>
      <c r="C785" s="3">
        <v>43838</v>
      </c>
      <c r="D785" s="2">
        <f t="shared" si="25"/>
        <v>25</v>
      </c>
      <c r="E785" s="4" t="str" cm="1">
        <f t="array" ref="E785">_xlfn.IFS(
D785&lt;=5,"Newcomer",
D785&lt;=10,"Proficient",
D785&gt;10,"Expert"
)</f>
        <v>Expert</v>
      </c>
      <c r="F785" s="2" t="s">
        <v>104</v>
      </c>
      <c r="G785" s="5" t="s">
        <v>35</v>
      </c>
      <c r="H785" s="5" t="s">
        <v>76</v>
      </c>
      <c r="I785" s="2">
        <v>39</v>
      </c>
      <c r="J785" s="2" t="s">
        <v>17</v>
      </c>
      <c r="K785" s="2" t="s">
        <v>18</v>
      </c>
      <c r="L785" s="2" t="s">
        <v>96</v>
      </c>
      <c r="M785" s="4" t="str">
        <f t="shared" si="24"/>
        <v>Involuntary</v>
      </c>
      <c r="N785" s="23" t="s">
        <v>26</v>
      </c>
    </row>
    <row r="786" spans="1:14" x14ac:dyDescent="0.25">
      <c r="A786" s="22">
        <v>4510</v>
      </c>
      <c r="B786" s="3">
        <v>37721</v>
      </c>
      <c r="C786" s="3">
        <v>44008</v>
      </c>
      <c r="D786" s="2">
        <f t="shared" si="25"/>
        <v>17</v>
      </c>
      <c r="E786" s="4" t="str" cm="1">
        <f t="array" ref="E786">_xlfn.IFS(
D786&lt;=5,"Newcomer",
D786&lt;=10,"Proficient",
D786&gt;10,"Expert"
)</f>
        <v>Expert</v>
      </c>
      <c r="F786" s="2" t="s">
        <v>81</v>
      </c>
      <c r="G786" s="5" t="s">
        <v>42</v>
      </c>
      <c r="H786" s="5" t="s">
        <v>105</v>
      </c>
      <c r="I786" s="2">
        <v>5</v>
      </c>
      <c r="J786" s="2" t="s">
        <v>24</v>
      </c>
      <c r="K786" s="2" t="s">
        <v>25</v>
      </c>
      <c r="L786" s="2" t="s">
        <v>96</v>
      </c>
      <c r="M786" s="4" t="str">
        <f t="shared" si="24"/>
        <v>Involuntary</v>
      </c>
      <c r="N786" s="23" t="s">
        <v>26</v>
      </c>
    </row>
    <row r="787" spans="1:14" x14ac:dyDescent="0.25">
      <c r="A787" s="22">
        <v>4512</v>
      </c>
      <c r="B787" s="3">
        <v>36181</v>
      </c>
      <c r="C787" s="3">
        <v>44049</v>
      </c>
      <c r="D787" s="2">
        <f t="shared" si="25"/>
        <v>21</v>
      </c>
      <c r="E787" s="4" t="str" cm="1">
        <f t="array" ref="E787">_xlfn.IFS(
D787&lt;=5,"Newcomer",
D787&lt;=10,"Proficient",
D787&gt;10,"Expert"
)</f>
        <v>Expert</v>
      </c>
      <c r="F787" s="2" t="s">
        <v>70</v>
      </c>
      <c r="G787" s="5" t="s">
        <v>42</v>
      </c>
      <c r="H787" s="5" t="s">
        <v>105</v>
      </c>
      <c r="I787" s="2">
        <v>6</v>
      </c>
      <c r="J787" s="2" t="s">
        <v>17</v>
      </c>
      <c r="K787" s="2" t="s">
        <v>18</v>
      </c>
      <c r="L787" s="2" t="s">
        <v>96</v>
      </c>
      <c r="M787" s="4" t="str">
        <f t="shared" si="24"/>
        <v>Involuntary</v>
      </c>
      <c r="N787" s="23" t="s">
        <v>26</v>
      </c>
    </row>
    <row r="788" spans="1:14" x14ac:dyDescent="0.25">
      <c r="A788" s="22">
        <v>4514</v>
      </c>
      <c r="B788" s="3">
        <v>37052</v>
      </c>
      <c r="C788" s="3">
        <v>44143</v>
      </c>
      <c r="D788" s="2">
        <f t="shared" si="25"/>
        <v>19</v>
      </c>
      <c r="E788" s="4" t="str" cm="1">
        <f t="array" ref="E788">_xlfn.IFS(
D788&lt;=5,"Newcomer",
D788&lt;=10,"Proficient",
D788&gt;10,"Expert"
)</f>
        <v>Expert</v>
      </c>
      <c r="F788" s="2" t="s">
        <v>14</v>
      </c>
      <c r="G788" s="5" t="s">
        <v>35</v>
      </c>
      <c r="H788" s="5" t="s">
        <v>76</v>
      </c>
      <c r="I788" s="2">
        <v>35</v>
      </c>
      <c r="J788" s="2" t="s">
        <v>17</v>
      </c>
      <c r="K788" s="2" t="s">
        <v>18</v>
      </c>
      <c r="L788" s="2" t="s">
        <v>96</v>
      </c>
      <c r="M788" s="4" t="str">
        <f t="shared" si="24"/>
        <v>Involuntary</v>
      </c>
      <c r="N788" s="23" t="s">
        <v>26</v>
      </c>
    </row>
    <row r="789" spans="1:14" x14ac:dyDescent="0.25">
      <c r="A789" s="22">
        <v>4517</v>
      </c>
      <c r="B789" s="3">
        <v>35923</v>
      </c>
      <c r="C789" s="3">
        <v>43834</v>
      </c>
      <c r="D789" s="2">
        <f t="shared" si="25"/>
        <v>22</v>
      </c>
      <c r="E789" s="4" t="str" cm="1">
        <f t="array" ref="E789">_xlfn.IFS(
D789&lt;=5,"Newcomer",
D789&lt;=10,"Proficient",
D789&gt;10,"Expert"
)</f>
        <v>Expert</v>
      </c>
      <c r="F789" s="2" t="s">
        <v>30</v>
      </c>
      <c r="G789" s="5" t="s">
        <v>42</v>
      </c>
      <c r="H789" s="5" t="s">
        <v>105</v>
      </c>
      <c r="I789" s="2">
        <v>37</v>
      </c>
      <c r="J789" s="2" t="s">
        <v>17</v>
      </c>
      <c r="K789" s="2" t="s">
        <v>18</v>
      </c>
      <c r="L789" s="2" t="s">
        <v>96</v>
      </c>
      <c r="M789" s="4" t="str">
        <f t="shared" si="24"/>
        <v>Involuntary</v>
      </c>
      <c r="N789" s="23" t="s">
        <v>26</v>
      </c>
    </row>
    <row r="790" spans="1:14" x14ac:dyDescent="0.25">
      <c r="A790" s="22">
        <v>4525</v>
      </c>
      <c r="B790" s="3">
        <v>37982</v>
      </c>
      <c r="C790" s="3">
        <v>43844</v>
      </c>
      <c r="D790" s="2">
        <f t="shared" si="25"/>
        <v>17</v>
      </c>
      <c r="E790" s="4" t="str" cm="1">
        <f t="array" ref="E790">_xlfn.IFS(
D790&lt;=5,"Newcomer",
D790&lt;=10,"Proficient",
D790&gt;10,"Expert"
)</f>
        <v>Expert</v>
      </c>
      <c r="F790" s="2" t="s">
        <v>44</v>
      </c>
      <c r="G790" s="5" t="s">
        <v>42</v>
      </c>
      <c r="H790" s="5" t="s">
        <v>105</v>
      </c>
      <c r="I790" s="2">
        <v>18</v>
      </c>
      <c r="J790" s="2" t="s">
        <v>17</v>
      </c>
      <c r="K790" s="2" t="s">
        <v>18</v>
      </c>
      <c r="L790" s="2" t="s">
        <v>96</v>
      </c>
      <c r="M790" s="4" t="str">
        <f t="shared" si="24"/>
        <v>Involuntary</v>
      </c>
      <c r="N790" s="23" t="s">
        <v>26</v>
      </c>
    </row>
    <row r="791" spans="1:14" x14ac:dyDescent="0.25">
      <c r="A791" s="22">
        <v>4534</v>
      </c>
      <c r="B791" s="3">
        <v>35309</v>
      </c>
      <c r="C791" s="3">
        <v>44095</v>
      </c>
      <c r="D791" s="2">
        <f t="shared" si="25"/>
        <v>24</v>
      </c>
      <c r="E791" s="4" t="str" cm="1">
        <f t="array" ref="E791">_xlfn.IFS(
D791&lt;=5,"Newcomer",
D791&lt;=10,"Proficient",
D791&gt;10,"Expert"
)</f>
        <v>Expert</v>
      </c>
      <c r="F791" s="2" t="s">
        <v>104</v>
      </c>
      <c r="G791" s="5" t="s">
        <v>35</v>
      </c>
      <c r="H791" s="5" t="s">
        <v>76</v>
      </c>
      <c r="I791" s="2">
        <v>39</v>
      </c>
      <c r="J791" s="2" t="s">
        <v>24</v>
      </c>
      <c r="K791" s="2" t="s">
        <v>25</v>
      </c>
      <c r="L791" s="2" t="s">
        <v>96</v>
      </c>
      <c r="M791" s="4" t="str">
        <f t="shared" si="24"/>
        <v>Involuntary</v>
      </c>
      <c r="N791" s="23" t="s">
        <v>26</v>
      </c>
    </row>
    <row r="792" spans="1:14" x14ac:dyDescent="0.25">
      <c r="A792" s="22">
        <v>4539</v>
      </c>
      <c r="B792" s="3">
        <v>41087</v>
      </c>
      <c r="C792" s="3">
        <v>43898</v>
      </c>
      <c r="D792" s="2">
        <f t="shared" si="25"/>
        <v>8</v>
      </c>
      <c r="E792" s="4" t="str" cm="1">
        <f t="array" ref="E792">_xlfn.IFS(
D792&lt;=5,"Newcomer",
D792&lt;=10,"Proficient",
D792&gt;10,"Expert"
)</f>
        <v>Proficient</v>
      </c>
      <c r="F792" s="2" t="s">
        <v>49</v>
      </c>
      <c r="G792" s="5" t="s">
        <v>42</v>
      </c>
      <c r="H792" s="5" t="s">
        <v>105</v>
      </c>
      <c r="I792" s="2">
        <v>12</v>
      </c>
      <c r="J792" s="2" t="s">
        <v>17</v>
      </c>
      <c r="K792" s="2" t="s">
        <v>18</v>
      </c>
      <c r="L792" s="2" t="s">
        <v>96</v>
      </c>
      <c r="M792" s="4" t="str">
        <f t="shared" si="24"/>
        <v>Involuntary</v>
      </c>
      <c r="N792" s="23" t="s">
        <v>26</v>
      </c>
    </row>
    <row r="793" spans="1:14" x14ac:dyDescent="0.25">
      <c r="A793" s="22">
        <v>4540</v>
      </c>
      <c r="B793" s="3">
        <v>40921</v>
      </c>
      <c r="C793" s="3">
        <v>44045</v>
      </c>
      <c r="D793" s="2">
        <f t="shared" si="25"/>
        <v>8</v>
      </c>
      <c r="E793" s="4" t="str" cm="1">
        <f t="array" ref="E793">_xlfn.IFS(
D793&lt;=5,"Newcomer",
D793&lt;=10,"Proficient",
D793&gt;10,"Expert"
)</f>
        <v>Proficient</v>
      </c>
      <c r="F793" s="2" t="s">
        <v>30</v>
      </c>
      <c r="G793" s="5" t="s">
        <v>42</v>
      </c>
      <c r="H793" s="5" t="s">
        <v>105</v>
      </c>
      <c r="I793" s="2">
        <v>37</v>
      </c>
      <c r="J793" s="2" t="s">
        <v>17</v>
      </c>
      <c r="K793" s="2" t="s">
        <v>18</v>
      </c>
      <c r="L793" s="2" t="s">
        <v>96</v>
      </c>
      <c r="M793" s="4" t="str">
        <f t="shared" si="24"/>
        <v>Involuntary</v>
      </c>
      <c r="N793" s="23" t="s">
        <v>26</v>
      </c>
    </row>
    <row r="794" spans="1:14" x14ac:dyDescent="0.25">
      <c r="A794" s="22">
        <v>4544</v>
      </c>
      <c r="B794" s="3">
        <v>39679</v>
      </c>
      <c r="C794" s="3">
        <v>44127</v>
      </c>
      <c r="D794" s="2">
        <f t="shared" si="25"/>
        <v>12</v>
      </c>
      <c r="E794" s="4" t="str" cm="1">
        <f t="array" ref="E794">_xlfn.IFS(
D794&lt;=5,"Newcomer",
D794&lt;=10,"Proficient",
D794&gt;10,"Expert"
)</f>
        <v>Expert</v>
      </c>
      <c r="F794" s="2" t="s">
        <v>86</v>
      </c>
      <c r="G794" s="5" t="s">
        <v>42</v>
      </c>
      <c r="H794" s="5" t="s">
        <v>105</v>
      </c>
      <c r="I794" s="2">
        <v>8</v>
      </c>
      <c r="J794" s="2" t="s">
        <v>24</v>
      </c>
      <c r="K794" s="2" t="s">
        <v>25</v>
      </c>
      <c r="L794" s="2" t="s">
        <v>96</v>
      </c>
      <c r="M794" s="4" t="str">
        <f t="shared" si="24"/>
        <v>Involuntary</v>
      </c>
      <c r="N794" s="23" t="s">
        <v>26</v>
      </c>
    </row>
    <row r="795" spans="1:14" x14ac:dyDescent="0.25">
      <c r="A795" s="22">
        <v>4546</v>
      </c>
      <c r="B795" s="3">
        <v>33675</v>
      </c>
      <c r="C795" s="3">
        <v>44087</v>
      </c>
      <c r="D795" s="2">
        <f t="shared" si="25"/>
        <v>28</v>
      </c>
      <c r="E795" s="4" t="str" cm="1">
        <f t="array" ref="E795">_xlfn.IFS(
D795&lt;=5,"Newcomer",
D795&lt;=10,"Proficient",
D795&gt;10,"Expert"
)</f>
        <v>Expert</v>
      </c>
      <c r="F795" s="2" t="s">
        <v>44</v>
      </c>
      <c r="G795" s="5" t="s">
        <v>42</v>
      </c>
      <c r="H795" s="5" t="s">
        <v>105</v>
      </c>
      <c r="I795" s="2">
        <v>18</v>
      </c>
      <c r="J795" s="2" t="s">
        <v>17</v>
      </c>
      <c r="K795" s="2" t="s">
        <v>18</v>
      </c>
      <c r="L795" s="2" t="s">
        <v>96</v>
      </c>
      <c r="M795" s="4" t="str">
        <f t="shared" si="24"/>
        <v>Involuntary</v>
      </c>
      <c r="N795" s="23" t="s">
        <v>26</v>
      </c>
    </row>
    <row r="796" spans="1:14" x14ac:dyDescent="0.25">
      <c r="A796" s="22">
        <v>4548</v>
      </c>
      <c r="B796" s="3">
        <v>38169</v>
      </c>
      <c r="C796" s="3">
        <v>43894</v>
      </c>
      <c r="D796" s="2">
        <f t="shared" si="25"/>
        <v>16</v>
      </c>
      <c r="E796" s="4" t="str" cm="1">
        <f t="array" ref="E796">_xlfn.IFS(
D796&lt;=5,"Newcomer",
D796&lt;=10,"Proficient",
D796&gt;10,"Expert"
)</f>
        <v>Expert</v>
      </c>
      <c r="F796" s="2" t="s">
        <v>14</v>
      </c>
      <c r="G796" s="5" t="s">
        <v>35</v>
      </c>
      <c r="H796" s="5" t="s">
        <v>76</v>
      </c>
      <c r="I796" s="2">
        <v>35</v>
      </c>
      <c r="J796" s="2" t="s">
        <v>24</v>
      </c>
      <c r="K796" s="2" t="s">
        <v>25</v>
      </c>
      <c r="L796" s="2" t="s">
        <v>96</v>
      </c>
      <c r="M796" s="4" t="str">
        <f t="shared" si="24"/>
        <v>Involuntary</v>
      </c>
      <c r="N796" s="23" t="s">
        <v>26</v>
      </c>
    </row>
    <row r="797" spans="1:14" x14ac:dyDescent="0.25">
      <c r="A797" s="22">
        <v>4549</v>
      </c>
      <c r="B797" s="3">
        <v>32972</v>
      </c>
      <c r="C797" s="3">
        <v>43982</v>
      </c>
      <c r="D797" s="2">
        <f t="shared" si="25"/>
        <v>30</v>
      </c>
      <c r="E797" s="4" t="str" cm="1">
        <f t="array" ref="E797">_xlfn.IFS(
D797&lt;=5,"Newcomer",
D797&lt;=10,"Proficient",
D797&gt;10,"Expert"
)</f>
        <v>Expert</v>
      </c>
      <c r="F797" s="2" t="s">
        <v>14</v>
      </c>
      <c r="G797" s="5" t="s">
        <v>35</v>
      </c>
      <c r="H797" s="5" t="s">
        <v>76</v>
      </c>
      <c r="I797" s="2">
        <v>35</v>
      </c>
      <c r="J797" s="2" t="s">
        <v>17</v>
      </c>
      <c r="K797" s="2" t="s">
        <v>18</v>
      </c>
      <c r="L797" s="2" t="s">
        <v>96</v>
      </c>
      <c r="M797" s="4" t="str">
        <f t="shared" si="24"/>
        <v>Involuntary</v>
      </c>
      <c r="N797" s="23" t="s">
        <v>26</v>
      </c>
    </row>
    <row r="798" spans="1:14" x14ac:dyDescent="0.25">
      <c r="A798" s="22">
        <v>4550</v>
      </c>
      <c r="B798" s="3">
        <v>42344</v>
      </c>
      <c r="C798" s="3">
        <v>43849</v>
      </c>
      <c r="D798" s="2">
        <f t="shared" si="25"/>
        <v>5</v>
      </c>
      <c r="E798" s="4" t="str" cm="1">
        <f t="array" ref="E798">_xlfn.IFS(
D798&lt;=5,"Newcomer",
D798&lt;=10,"Proficient",
D798&gt;10,"Expert"
)</f>
        <v>Newcomer</v>
      </c>
      <c r="F798" s="2" t="s">
        <v>27</v>
      </c>
      <c r="G798" s="5" t="s">
        <v>42</v>
      </c>
      <c r="H798" s="5" t="s">
        <v>105</v>
      </c>
      <c r="I798" s="2">
        <v>16</v>
      </c>
      <c r="J798" s="2" t="s">
        <v>24</v>
      </c>
      <c r="K798" s="2" t="s">
        <v>25</v>
      </c>
      <c r="L798" s="2" t="s">
        <v>96</v>
      </c>
      <c r="M798" s="4" t="str">
        <f t="shared" si="24"/>
        <v>Involuntary</v>
      </c>
      <c r="N798" s="23" t="s">
        <v>26</v>
      </c>
    </row>
    <row r="799" spans="1:14" x14ac:dyDescent="0.25">
      <c r="A799" s="22">
        <v>4555</v>
      </c>
      <c r="B799" s="3">
        <v>41542</v>
      </c>
      <c r="C799" s="3">
        <v>43906</v>
      </c>
      <c r="D799" s="2">
        <f t="shared" si="25"/>
        <v>7</v>
      </c>
      <c r="E799" s="4" t="str" cm="1">
        <f t="array" ref="E799">_xlfn.IFS(
D799&lt;=5,"Newcomer",
D799&lt;=10,"Proficient",
D799&gt;10,"Expert"
)</f>
        <v>Proficient</v>
      </c>
      <c r="F799" s="2" t="s">
        <v>14</v>
      </c>
      <c r="G799" s="5" t="s">
        <v>35</v>
      </c>
      <c r="H799" s="5" t="s">
        <v>76</v>
      </c>
      <c r="I799" s="2">
        <v>35</v>
      </c>
      <c r="J799" s="2" t="s">
        <v>17</v>
      </c>
      <c r="K799" s="2" t="s">
        <v>18</v>
      </c>
      <c r="L799" s="2" t="s">
        <v>96</v>
      </c>
      <c r="M799" s="4" t="str">
        <f t="shared" si="24"/>
        <v>Involuntary</v>
      </c>
      <c r="N799" s="23" t="s">
        <v>26</v>
      </c>
    </row>
    <row r="800" spans="1:14" x14ac:dyDescent="0.25">
      <c r="A800" s="22">
        <v>4557</v>
      </c>
      <c r="B800" s="3">
        <v>35485</v>
      </c>
      <c r="C800" s="3">
        <v>43846</v>
      </c>
      <c r="D800" s="2">
        <f t="shared" si="25"/>
        <v>23</v>
      </c>
      <c r="E800" s="4" t="str" cm="1">
        <f t="array" ref="E800">_xlfn.IFS(
D800&lt;=5,"Newcomer",
D800&lt;=10,"Proficient",
D800&gt;10,"Expert"
)</f>
        <v>Expert</v>
      </c>
      <c r="F800" s="2" t="s">
        <v>115</v>
      </c>
      <c r="G800" s="5" t="s">
        <v>42</v>
      </c>
      <c r="H800" s="5" t="s">
        <v>105</v>
      </c>
      <c r="I800" s="2">
        <v>17</v>
      </c>
      <c r="J800" s="2" t="s">
        <v>24</v>
      </c>
      <c r="K800" s="2" t="s">
        <v>25</v>
      </c>
      <c r="L800" s="2" t="s">
        <v>96</v>
      </c>
      <c r="M800" s="4" t="str">
        <f t="shared" si="24"/>
        <v>Involuntary</v>
      </c>
      <c r="N800" s="23" t="s">
        <v>26</v>
      </c>
    </row>
    <row r="801" spans="1:14" x14ac:dyDescent="0.25">
      <c r="A801" s="22">
        <v>4558</v>
      </c>
      <c r="B801" s="3">
        <v>41627</v>
      </c>
      <c r="C801" s="3">
        <v>44038</v>
      </c>
      <c r="D801" s="2">
        <f t="shared" si="25"/>
        <v>7</v>
      </c>
      <c r="E801" s="4" t="str" cm="1">
        <f t="array" ref="E801">_xlfn.IFS(
D801&lt;=5,"Newcomer",
D801&lt;=10,"Proficient",
D801&gt;10,"Expert"
)</f>
        <v>Proficient</v>
      </c>
      <c r="F801" s="2" t="s">
        <v>30</v>
      </c>
      <c r="G801" s="5" t="s">
        <v>42</v>
      </c>
      <c r="H801" s="5" t="s">
        <v>105</v>
      </c>
      <c r="I801" s="2">
        <v>37</v>
      </c>
      <c r="J801" s="2" t="s">
        <v>17</v>
      </c>
      <c r="K801" s="2" t="s">
        <v>18</v>
      </c>
      <c r="L801" s="2" t="s">
        <v>96</v>
      </c>
      <c r="M801" s="4" t="str">
        <f t="shared" si="24"/>
        <v>Involuntary</v>
      </c>
      <c r="N801" s="23" t="s">
        <v>26</v>
      </c>
    </row>
    <row r="802" spans="1:14" x14ac:dyDescent="0.25">
      <c r="A802" s="22">
        <v>4559</v>
      </c>
      <c r="B802" s="3">
        <v>40675</v>
      </c>
      <c r="C802" s="3">
        <v>43911</v>
      </c>
      <c r="D802" s="2">
        <f t="shared" si="25"/>
        <v>9</v>
      </c>
      <c r="E802" s="4" t="str" cm="1">
        <f t="array" ref="E802">_xlfn.IFS(
D802&lt;=5,"Newcomer",
D802&lt;=10,"Proficient",
D802&gt;10,"Expert"
)</f>
        <v>Proficient</v>
      </c>
      <c r="F802" s="2" t="s">
        <v>44</v>
      </c>
      <c r="G802" s="5" t="s">
        <v>42</v>
      </c>
      <c r="H802" s="5" t="s">
        <v>105</v>
      </c>
      <c r="I802" s="2">
        <v>18</v>
      </c>
      <c r="J802" s="2" t="s">
        <v>24</v>
      </c>
      <c r="K802" s="2" t="s">
        <v>25</v>
      </c>
      <c r="L802" s="2" t="s">
        <v>96</v>
      </c>
      <c r="M802" s="4" t="str">
        <f t="shared" si="24"/>
        <v>Involuntary</v>
      </c>
      <c r="N802" s="23" t="s">
        <v>26</v>
      </c>
    </row>
    <row r="803" spans="1:14" x14ac:dyDescent="0.25">
      <c r="A803" s="22">
        <v>4560</v>
      </c>
      <c r="B803" s="3">
        <v>33858</v>
      </c>
      <c r="C803" s="3">
        <v>44049</v>
      </c>
      <c r="D803" s="2">
        <f t="shared" si="25"/>
        <v>28</v>
      </c>
      <c r="E803" s="4" t="str" cm="1">
        <f t="array" ref="E803">_xlfn.IFS(
D803&lt;=5,"Newcomer",
D803&lt;=10,"Proficient",
D803&gt;10,"Expert"
)</f>
        <v>Expert</v>
      </c>
      <c r="F803" s="2" t="s">
        <v>101</v>
      </c>
      <c r="G803" s="5" t="s">
        <v>42</v>
      </c>
      <c r="H803" s="5" t="s">
        <v>105</v>
      </c>
      <c r="I803" s="2">
        <v>38</v>
      </c>
      <c r="J803" s="2" t="s">
        <v>17</v>
      </c>
      <c r="K803" s="2" t="s">
        <v>18</v>
      </c>
      <c r="L803" s="2" t="s">
        <v>96</v>
      </c>
      <c r="M803" s="4" t="str">
        <f t="shared" si="24"/>
        <v>Involuntary</v>
      </c>
      <c r="N803" s="23" t="s">
        <v>26</v>
      </c>
    </row>
    <row r="804" spans="1:14" x14ac:dyDescent="0.25">
      <c r="A804" s="22">
        <v>4565</v>
      </c>
      <c r="B804" s="3">
        <v>40484</v>
      </c>
      <c r="C804" s="3">
        <v>44158</v>
      </c>
      <c r="D804" s="2">
        <f t="shared" si="25"/>
        <v>10</v>
      </c>
      <c r="E804" s="4" t="str" cm="1">
        <f t="array" ref="E804">_xlfn.IFS(
D804&lt;=5,"Newcomer",
D804&lt;=10,"Proficient",
D804&gt;10,"Expert"
)</f>
        <v>Proficient</v>
      </c>
      <c r="F804" s="2" t="s">
        <v>103</v>
      </c>
      <c r="G804" s="5" t="s">
        <v>42</v>
      </c>
      <c r="H804" s="5" t="s">
        <v>105</v>
      </c>
      <c r="I804" s="2">
        <v>2</v>
      </c>
      <c r="J804" s="2" t="s">
        <v>24</v>
      </c>
      <c r="K804" s="2" t="s">
        <v>25</v>
      </c>
      <c r="L804" s="2" t="s">
        <v>96</v>
      </c>
      <c r="M804" s="4" t="str">
        <f t="shared" si="24"/>
        <v>Involuntary</v>
      </c>
      <c r="N804" s="23" t="s">
        <v>26</v>
      </c>
    </row>
    <row r="805" spans="1:14" x14ac:dyDescent="0.25">
      <c r="A805" s="22">
        <v>4566</v>
      </c>
      <c r="B805" s="3">
        <v>39065</v>
      </c>
      <c r="C805" s="3">
        <v>43959</v>
      </c>
      <c r="D805" s="2">
        <f t="shared" si="25"/>
        <v>14</v>
      </c>
      <c r="E805" s="4" t="str" cm="1">
        <f t="array" ref="E805">_xlfn.IFS(
D805&lt;=5,"Newcomer",
D805&lt;=10,"Proficient",
D805&gt;10,"Expert"
)</f>
        <v>Expert</v>
      </c>
      <c r="F805" s="2" t="s">
        <v>30</v>
      </c>
      <c r="G805" s="5" t="s">
        <v>42</v>
      </c>
      <c r="H805" s="5" t="s">
        <v>105</v>
      </c>
      <c r="I805" s="2">
        <v>37</v>
      </c>
      <c r="J805" s="2" t="s">
        <v>24</v>
      </c>
      <c r="K805" s="2" t="s">
        <v>25</v>
      </c>
      <c r="L805" s="2" t="s">
        <v>96</v>
      </c>
      <c r="M805" s="4" t="str">
        <f t="shared" si="24"/>
        <v>Involuntary</v>
      </c>
      <c r="N805" s="23" t="s">
        <v>26</v>
      </c>
    </row>
    <row r="806" spans="1:14" x14ac:dyDescent="0.25">
      <c r="A806" s="22">
        <v>4567</v>
      </c>
      <c r="B806" s="3">
        <v>34786</v>
      </c>
      <c r="C806" s="3">
        <v>44182</v>
      </c>
      <c r="D806" s="2">
        <f t="shared" si="25"/>
        <v>25</v>
      </c>
      <c r="E806" s="4" t="str" cm="1">
        <f t="array" ref="E806">_xlfn.IFS(
D806&lt;=5,"Newcomer",
D806&lt;=10,"Proficient",
D806&gt;10,"Expert"
)</f>
        <v>Expert</v>
      </c>
      <c r="F806" s="2" t="s">
        <v>53</v>
      </c>
      <c r="G806" s="5" t="s">
        <v>42</v>
      </c>
      <c r="H806" s="5" t="s">
        <v>105</v>
      </c>
      <c r="I806" s="2">
        <v>31</v>
      </c>
      <c r="J806" s="2" t="s">
        <v>24</v>
      </c>
      <c r="K806" s="2" t="s">
        <v>25</v>
      </c>
      <c r="L806" s="2" t="s">
        <v>96</v>
      </c>
      <c r="M806" s="4" t="str">
        <f t="shared" si="24"/>
        <v>Involuntary</v>
      </c>
      <c r="N806" s="23" t="s">
        <v>26</v>
      </c>
    </row>
    <row r="807" spans="1:14" x14ac:dyDescent="0.25">
      <c r="A807" s="22">
        <v>4570</v>
      </c>
      <c r="B807" s="3">
        <v>38290</v>
      </c>
      <c r="C807" s="3">
        <v>43979</v>
      </c>
      <c r="D807" s="2">
        <f t="shared" si="25"/>
        <v>16</v>
      </c>
      <c r="E807" s="4" t="str" cm="1">
        <f t="array" ref="E807">_xlfn.IFS(
D807&lt;=5,"Newcomer",
D807&lt;=10,"Proficient",
D807&gt;10,"Expert"
)</f>
        <v>Expert</v>
      </c>
      <c r="F807" s="2" t="s">
        <v>86</v>
      </c>
      <c r="G807" s="5" t="s">
        <v>42</v>
      </c>
      <c r="H807" s="5" t="s">
        <v>105</v>
      </c>
      <c r="I807" s="2">
        <v>8</v>
      </c>
      <c r="J807" s="2" t="s">
        <v>24</v>
      </c>
      <c r="K807" s="2" t="s">
        <v>25</v>
      </c>
      <c r="L807" s="2" t="s">
        <v>96</v>
      </c>
      <c r="M807" s="4" t="str">
        <f t="shared" si="24"/>
        <v>Involuntary</v>
      </c>
      <c r="N807" s="23" t="s">
        <v>26</v>
      </c>
    </row>
    <row r="808" spans="1:14" x14ac:dyDescent="0.25">
      <c r="A808" s="22">
        <v>4574</v>
      </c>
      <c r="B808" s="3">
        <v>39052</v>
      </c>
      <c r="C808" s="3">
        <v>43890</v>
      </c>
      <c r="D808" s="2">
        <f t="shared" si="25"/>
        <v>14</v>
      </c>
      <c r="E808" s="4" t="str" cm="1">
        <f t="array" ref="E808">_xlfn.IFS(
D808&lt;=5,"Newcomer",
D808&lt;=10,"Proficient",
D808&gt;10,"Expert"
)</f>
        <v>Expert</v>
      </c>
      <c r="F808" s="2" t="s">
        <v>90</v>
      </c>
      <c r="G808" s="5" t="s">
        <v>42</v>
      </c>
      <c r="H808" s="5" t="s">
        <v>105</v>
      </c>
      <c r="I808" s="2">
        <v>26</v>
      </c>
      <c r="J808" s="2" t="s">
        <v>17</v>
      </c>
      <c r="K808" s="2" t="s">
        <v>18</v>
      </c>
      <c r="L808" s="2" t="s">
        <v>96</v>
      </c>
      <c r="M808" s="4" t="str">
        <f t="shared" si="24"/>
        <v>Involuntary</v>
      </c>
      <c r="N808" s="23" t="s">
        <v>26</v>
      </c>
    </row>
    <row r="809" spans="1:14" x14ac:dyDescent="0.25">
      <c r="A809" s="22">
        <v>4577</v>
      </c>
      <c r="B809" s="3">
        <v>39428</v>
      </c>
      <c r="C809" s="3">
        <v>44156</v>
      </c>
      <c r="D809" s="2">
        <f t="shared" si="25"/>
        <v>13</v>
      </c>
      <c r="E809" s="4" t="str" cm="1">
        <f t="array" ref="E809">_xlfn.IFS(
D809&lt;=5,"Newcomer",
D809&lt;=10,"Proficient",
D809&gt;10,"Expert"
)</f>
        <v>Expert</v>
      </c>
      <c r="F809" s="2" t="s">
        <v>69</v>
      </c>
      <c r="G809" s="5" t="s">
        <v>42</v>
      </c>
      <c r="H809" s="5" t="s">
        <v>105</v>
      </c>
      <c r="I809" s="2">
        <v>28</v>
      </c>
      <c r="J809" s="2" t="s">
        <v>24</v>
      </c>
      <c r="K809" s="2" t="s">
        <v>25</v>
      </c>
      <c r="L809" s="2" t="s">
        <v>96</v>
      </c>
      <c r="M809" s="4" t="str">
        <f t="shared" si="24"/>
        <v>Involuntary</v>
      </c>
      <c r="N809" s="23" t="s">
        <v>26</v>
      </c>
    </row>
    <row r="810" spans="1:14" x14ac:dyDescent="0.25">
      <c r="A810" s="22">
        <v>4580</v>
      </c>
      <c r="B810" s="3">
        <v>41188</v>
      </c>
      <c r="C810" s="3">
        <v>43900</v>
      </c>
      <c r="D810" s="2">
        <f t="shared" si="25"/>
        <v>8</v>
      </c>
      <c r="E810" s="4" t="str" cm="1">
        <f t="array" ref="E810">_xlfn.IFS(
D810&lt;=5,"Newcomer",
D810&lt;=10,"Proficient",
D810&gt;10,"Expert"
)</f>
        <v>Proficient</v>
      </c>
      <c r="F810" s="2" t="s">
        <v>115</v>
      </c>
      <c r="G810" s="5" t="s">
        <v>42</v>
      </c>
      <c r="H810" s="5" t="s">
        <v>105</v>
      </c>
      <c r="I810" s="2">
        <v>17</v>
      </c>
      <c r="J810" s="2" t="s">
        <v>17</v>
      </c>
      <c r="K810" s="2" t="s">
        <v>18</v>
      </c>
      <c r="L810" s="2" t="s">
        <v>96</v>
      </c>
      <c r="M810" s="4" t="str">
        <f t="shared" si="24"/>
        <v>Involuntary</v>
      </c>
      <c r="N810" s="23" t="s">
        <v>26</v>
      </c>
    </row>
    <row r="811" spans="1:14" x14ac:dyDescent="0.25">
      <c r="A811" s="22">
        <v>4588</v>
      </c>
      <c r="B811" s="3">
        <v>38651</v>
      </c>
      <c r="C811" s="3">
        <v>44065</v>
      </c>
      <c r="D811" s="2">
        <f t="shared" si="25"/>
        <v>15</v>
      </c>
      <c r="E811" s="4" t="str" cm="1">
        <f t="array" ref="E811">_xlfn.IFS(
D811&lt;=5,"Newcomer",
D811&lt;=10,"Proficient",
D811&gt;10,"Expert"
)</f>
        <v>Expert</v>
      </c>
      <c r="F811" s="2" t="s">
        <v>14</v>
      </c>
      <c r="G811" s="5" t="s">
        <v>35</v>
      </c>
      <c r="H811" s="5" t="s">
        <v>76</v>
      </c>
      <c r="I811" s="2">
        <v>35</v>
      </c>
      <c r="J811" s="2" t="s">
        <v>24</v>
      </c>
      <c r="K811" s="2" t="s">
        <v>25</v>
      </c>
      <c r="L811" s="2" t="s">
        <v>96</v>
      </c>
      <c r="M811" s="4" t="str">
        <f t="shared" si="24"/>
        <v>Involuntary</v>
      </c>
      <c r="N811" s="23" t="s">
        <v>26</v>
      </c>
    </row>
    <row r="812" spans="1:14" x14ac:dyDescent="0.25">
      <c r="A812" s="22">
        <v>4589</v>
      </c>
      <c r="B812" s="3">
        <v>33700</v>
      </c>
      <c r="C812" s="3">
        <v>44048</v>
      </c>
      <c r="D812" s="2">
        <f t="shared" si="25"/>
        <v>28</v>
      </c>
      <c r="E812" s="4" t="str" cm="1">
        <f t="array" ref="E812">_xlfn.IFS(
D812&lt;=5,"Newcomer",
D812&lt;=10,"Proficient",
D812&gt;10,"Expert"
)</f>
        <v>Expert</v>
      </c>
      <c r="F812" s="2" t="s">
        <v>81</v>
      </c>
      <c r="G812" s="5" t="s">
        <v>42</v>
      </c>
      <c r="H812" s="5" t="s">
        <v>105</v>
      </c>
      <c r="I812" s="2">
        <v>5</v>
      </c>
      <c r="J812" s="2" t="s">
        <v>17</v>
      </c>
      <c r="K812" s="2" t="s">
        <v>18</v>
      </c>
      <c r="L812" s="2" t="s">
        <v>96</v>
      </c>
      <c r="M812" s="4" t="str">
        <f t="shared" si="24"/>
        <v>Involuntary</v>
      </c>
      <c r="N812" s="23" t="s">
        <v>26</v>
      </c>
    </row>
    <row r="813" spans="1:14" x14ac:dyDescent="0.25">
      <c r="A813" s="22">
        <v>4592</v>
      </c>
      <c r="B813" s="3">
        <v>37017</v>
      </c>
      <c r="C813" s="3">
        <v>44185</v>
      </c>
      <c r="D813" s="2">
        <f t="shared" si="25"/>
        <v>19</v>
      </c>
      <c r="E813" s="4" t="str" cm="1">
        <f t="array" ref="E813">_xlfn.IFS(
D813&lt;=5,"Newcomer",
D813&lt;=10,"Proficient",
D813&gt;10,"Expert"
)</f>
        <v>Expert</v>
      </c>
      <c r="F813" s="2" t="s">
        <v>21</v>
      </c>
      <c r="G813" s="5" t="s">
        <v>47</v>
      </c>
      <c r="H813" s="5" t="s">
        <v>95</v>
      </c>
      <c r="I813" s="2">
        <v>19</v>
      </c>
      <c r="J813" s="2" t="s">
        <v>24</v>
      </c>
      <c r="K813" s="2" t="s">
        <v>25</v>
      </c>
      <c r="L813" s="2" t="s">
        <v>96</v>
      </c>
      <c r="M813" s="4" t="str">
        <f t="shared" si="24"/>
        <v>Involuntary</v>
      </c>
      <c r="N813" s="23" t="s">
        <v>26</v>
      </c>
    </row>
    <row r="814" spans="1:14" x14ac:dyDescent="0.25">
      <c r="A814" s="22">
        <v>4598</v>
      </c>
      <c r="B814" s="3">
        <v>39824</v>
      </c>
      <c r="C814" s="3">
        <v>43831</v>
      </c>
      <c r="D814" s="2">
        <f t="shared" si="25"/>
        <v>11</v>
      </c>
      <c r="E814" s="4" t="str" cm="1">
        <f t="array" ref="E814">_xlfn.IFS(
D814&lt;=5,"Newcomer",
D814&lt;=10,"Proficient",
D814&gt;10,"Expert"
)</f>
        <v>Expert</v>
      </c>
      <c r="F814" s="2" t="s">
        <v>41</v>
      </c>
      <c r="G814" s="5" t="s">
        <v>47</v>
      </c>
      <c r="H814" s="5" t="s">
        <v>95</v>
      </c>
      <c r="I814" s="2">
        <v>15</v>
      </c>
      <c r="J814" s="2" t="s">
        <v>24</v>
      </c>
      <c r="K814" s="2" t="s">
        <v>25</v>
      </c>
      <c r="L814" s="2" t="s">
        <v>96</v>
      </c>
      <c r="M814" s="4" t="str">
        <f t="shared" si="24"/>
        <v>Involuntary</v>
      </c>
      <c r="N814" s="23" t="s">
        <v>26</v>
      </c>
    </row>
    <row r="815" spans="1:14" x14ac:dyDescent="0.25">
      <c r="A815" s="22">
        <v>4599</v>
      </c>
      <c r="B815" s="3">
        <v>37293</v>
      </c>
      <c r="C815" s="3">
        <v>43875</v>
      </c>
      <c r="D815" s="2">
        <f t="shared" si="25"/>
        <v>18</v>
      </c>
      <c r="E815" s="4" t="str" cm="1">
        <f t="array" ref="E815">_xlfn.IFS(
D815&lt;=5,"Newcomer",
D815&lt;=10,"Proficient",
D815&gt;10,"Expert"
)</f>
        <v>Expert</v>
      </c>
      <c r="F815" s="2" t="s">
        <v>14</v>
      </c>
      <c r="G815" s="5" t="s">
        <v>35</v>
      </c>
      <c r="H815" s="5" t="s">
        <v>76</v>
      </c>
      <c r="I815" s="2">
        <v>35</v>
      </c>
      <c r="J815" s="2" t="s">
        <v>24</v>
      </c>
      <c r="K815" s="2" t="s">
        <v>25</v>
      </c>
      <c r="L815" s="2" t="s">
        <v>96</v>
      </c>
      <c r="M815" s="4" t="str">
        <f t="shared" si="24"/>
        <v>Involuntary</v>
      </c>
      <c r="N815" s="23" t="s">
        <v>26</v>
      </c>
    </row>
    <row r="816" spans="1:14" x14ac:dyDescent="0.25">
      <c r="A816" s="22">
        <v>4602</v>
      </c>
      <c r="B816" s="3">
        <v>41916</v>
      </c>
      <c r="C816" s="3">
        <v>44035</v>
      </c>
      <c r="D816" s="2">
        <f t="shared" si="25"/>
        <v>6</v>
      </c>
      <c r="E816" s="4" t="str" cm="1">
        <f t="array" ref="E816">_xlfn.IFS(
D816&lt;=5,"Newcomer",
D816&lt;=10,"Proficient",
D816&gt;10,"Expert"
)</f>
        <v>Proficient</v>
      </c>
      <c r="F816" s="2" t="s">
        <v>30</v>
      </c>
      <c r="G816" s="5" t="s">
        <v>42</v>
      </c>
      <c r="H816" s="5" t="s">
        <v>105</v>
      </c>
      <c r="I816" s="2">
        <v>37</v>
      </c>
      <c r="J816" s="2" t="s">
        <v>24</v>
      </c>
      <c r="K816" s="2" t="s">
        <v>25</v>
      </c>
      <c r="L816" s="2" t="s">
        <v>96</v>
      </c>
      <c r="M816" s="4" t="str">
        <f t="shared" si="24"/>
        <v>Involuntary</v>
      </c>
      <c r="N816" s="23" t="s">
        <v>26</v>
      </c>
    </row>
    <row r="817" spans="1:14" x14ac:dyDescent="0.25">
      <c r="A817" s="22">
        <v>4604</v>
      </c>
      <c r="B817" s="3">
        <v>35676</v>
      </c>
      <c r="C817" s="3">
        <v>43950</v>
      </c>
      <c r="D817" s="2">
        <f t="shared" si="25"/>
        <v>23</v>
      </c>
      <c r="E817" s="4" t="str" cm="1">
        <f t="array" ref="E817">_xlfn.IFS(
D817&lt;=5,"Newcomer",
D817&lt;=10,"Proficient",
D817&gt;10,"Expert"
)</f>
        <v>Expert</v>
      </c>
      <c r="F817" s="2" t="s">
        <v>44</v>
      </c>
      <c r="G817" s="5" t="s">
        <v>42</v>
      </c>
      <c r="H817" s="5" t="s">
        <v>105</v>
      </c>
      <c r="I817" s="2">
        <v>18</v>
      </c>
      <c r="J817" s="2" t="s">
        <v>17</v>
      </c>
      <c r="K817" s="2" t="s">
        <v>18</v>
      </c>
      <c r="L817" s="2" t="s">
        <v>96</v>
      </c>
      <c r="M817" s="4" t="str">
        <f t="shared" si="24"/>
        <v>Involuntary</v>
      </c>
      <c r="N817" s="23" t="s">
        <v>26</v>
      </c>
    </row>
    <row r="818" spans="1:14" x14ac:dyDescent="0.25">
      <c r="A818" s="22">
        <v>4605</v>
      </c>
      <c r="B818" s="3">
        <v>34329</v>
      </c>
      <c r="C818" s="3">
        <v>43955</v>
      </c>
      <c r="D818" s="2">
        <f t="shared" si="25"/>
        <v>27</v>
      </c>
      <c r="E818" s="4" t="str" cm="1">
        <f t="array" ref="E818">_xlfn.IFS(
D818&lt;=5,"Newcomer",
D818&lt;=10,"Proficient",
D818&gt;10,"Expert"
)</f>
        <v>Expert</v>
      </c>
      <c r="F818" s="2" t="s">
        <v>90</v>
      </c>
      <c r="G818" s="5" t="s">
        <v>42</v>
      </c>
      <c r="H818" s="5" t="s">
        <v>105</v>
      </c>
      <c r="I818" s="2">
        <v>26</v>
      </c>
      <c r="J818" s="2" t="s">
        <v>24</v>
      </c>
      <c r="K818" s="2" t="s">
        <v>25</v>
      </c>
      <c r="L818" s="2" t="s">
        <v>96</v>
      </c>
      <c r="M818" s="4" t="str">
        <f t="shared" si="24"/>
        <v>Involuntary</v>
      </c>
      <c r="N818" s="23" t="s">
        <v>26</v>
      </c>
    </row>
    <row r="819" spans="1:14" x14ac:dyDescent="0.25">
      <c r="A819" s="22">
        <v>4606</v>
      </c>
      <c r="B819" s="3">
        <v>38932</v>
      </c>
      <c r="C819" s="3">
        <v>44154</v>
      </c>
      <c r="D819" s="2">
        <f t="shared" si="25"/>
        <v>14</v>
      </c>
      <c r="E819" s="4" t="str" cm="1">
        <f t="array" ref="E819">_xlfn.IFS(
D819&lt;=5,"Newcomer",
D819&lt;=10,"Proficient",
D819&gt;10,"Expert"
)</f>
        <v>Expert</v>
      </c>
      <c r="F819" s="2" t="s">
        <v>41</v>
      </c>
      <c r="G819" s="5" t="s">
        <v>47</v>
      </c>
      <c r="H819" s="5" t="s">
        <v>95</v>
      </c>
      <c r="I819" s="2">
        <v>15</v>
      </c>
      <c r="J819" s="2" t="s">
        <v>24</v>
      </c>
      <c r="K819" s="2" t="s">
        <v>25</v>
      </c>
      <c r="L819" s="2" t="s">
        <v>96</v>
      </c>
      <c r="M819" s="4" t="str">
        <f t="shared" si="24"/>
        <v>Involuntary</v>
      </c>
      <c r="N819" s="23" t="s">
        <v>26</v>
      </c>
    </row>
    <row r="820" spans="1:14" x14ac:dyDescent="0.25">
      <c r="A820" s="22">
        <v>4608</v>
      </c>
      <c r="B820" s="3">
        <v>34199</v>
      </c>
      <c r="C820" s="3">
        <v>44036</v>
      </c>
      <c r="D820" s="2">
        <f t="shared" si="25"/>
        <v>27</v>
      </c>
      <c r="E820" s="4" t="str" cm="1">
        <f t="array" ref="E820">_xlfn.IFS(
D820&lt;=5,"Newcomer",
D820&lt;=10,"Proficient",
D820&gt;10,"Expert"
)</f>
        <v>Expert</v>
      </c>
      <c r="F820" s="2" t="s">
        <v>14</v>
      </c>
      <c r="G820" s="5" t="s">
        <v>35</v>
      </c>
      <c r="H820" s="5" t="s">
        <v>76</v>
      </c>
      <c r="I820" s="2">
        <v>35</v>
      </c>
      <c r="J820" s="2" t="s">
        <v>24</v>
      </c>
      <c r="K820" s="2" t="s">
        <v>25</v>
      </c>
      <c r="L820" s="2" t="s">
        <v>96</v>
      </c>
      <c r="M820" s="4" t="str">
        <f t="shared" si="24"/>
        <v>Involuntary</v>
      </c>
      <c r="N820" s="23" t="s">
        <v>26</v>
      </c>
    </row>
    <row r="821" spans="1:14" x14ac:dyDescent="0.25">
      <c r="A821" s="22">
        <v>4611</v>
      </c>
      <c r="B821" s="3">
        <v>36319</v>
      </c>
      <c r="C821" s="3">
        <v>43867</v>
      </c>
      <c r="D821" s="2">
        <f t="shared" si="25"/>
        <v>21</v>
      </c>
      <c r="E821" s="4" t="str" cm="1">
        <f t="array" ref="E821">_xlfn.IFS(
D821&lt;=5,"Newcomer",
D821&lt;=10,"Proficient",
D821&gt;10,"Expert"
)</f>
        <v>Expert</v>
      </c>
      <c r="F821" s="2" t="s">
        <v>44</v>
      </c>
      <c r="G821" s="5" t="s">
        <v>42</v>
      </c>
      <c r="H821" s="5" t="s">
        <v>105</v>
      </c>
      <c r="I821" s="2">
        <v>18</v>
      </c>
      <c r="J821" s="2" t="s">
        <v>17</v>
      </c>
      <c r="K821" s="2" t="s">
        <v>18</v>
      </c>
      <c r="L821" s="2" t="s">
        <v>96</v>
      </c>
      <c r="M821" s="4" t="str">
        <f t="shared" si="24"/>
        <v>Involuntary</v>
      </c>
      <c r="N821" s="23" t="s">
        <v>26</v>
      </c>
    </row>
    <row r="822" spans="1:14" x14ac:dyDescent="0.25">
      <c r="A822" s="22">
        <v>4613</v>
      </c>
      <c r="B822" s="3">
        <v>36448</v>
      </c>
      <c r="C822" s="3">
        <v>44148</v>
      </c>
      <c r="D822" s="2">
        <f t="shared" si="25"/>
        <v>21</v>
      </c>
      <c r="E822" s="4" t="str" cm="1">
        <f t="array" ref="E822">_xlfn.IFS(
D822&lt;=5,"Newcomer",
D822&lt;=10,"Proficient",
D822&gt;10,"Expert"
)</f>
        <v>Expert</v>
      </c>
      <c r="F822" s="2" t="s">
        <v>14</v>
      </c>
      <c r="G822" s="5" t="s">
        <v>35</v>
      </c>
      <c r="H822" s="5" t="s">
        <v>76</v>
      </c>
      <c r="I822" s="2">
        <v>35</v>
      </c>
      <c r="J822" s="2" t="s">
        <v>17</v>
      </c>
      <c r="K822" s="2" t="s">
        <v>18</v>
      </c>
      <c r="L822" s="2" t="s">
        <v>96</v>
      </c>
      <c r="M822" s="4" t="str">
        <f t="shared" si="24"/>
        <v>Involuntary</v>
      </c>
      <c r="N822" s="23" t="s">
        <v>26</v>
      </c>
    </row>
    <row r="823" spans="1:14" x14ac:dyDescent="0.25">
      <c r="A823" s="22">
        <v>4614</v>
      </c>
      <c r="B823" s="3">
        <v>38314</v>
      </c>
      <c r="C823" s="3">
        <v>44113</v>
      </c>
      <c r="D823" s="2">
        <f t="shared" si="25"/>
        <v>16</v>
      </c>
      <c r="E823" s="4" t="str" cm="1">
        <f t="array" ref="E823">_xlfn.IFS(
D823&lt;=5,"Newcomer",
D823&lt;=10,"Proficient",
D823&gt;10,"Expert"
)</f>
        <v>Expert</v>
      </c>
      <c r="F823" s="2" t="s">
        <v>81</v>
      </c>
      <c r="G823" s="5" t="s">
        <v>42</v>
      </c>
      <c r="H823" s="5" t="s">
        <v>105</v>
      </c>
      <c r="I823" s="2">
        <v>5</v>
      </c>
      <c r="J823" s="2" t="s">
        <v>17</v>
      </c>
      <c r="K823" s="2" t="s">
        <v>18</v>
      </c>
      <c r="L823" s="2" t="s">
        <v>96</v>
      </c>
      <c r="M823" s="4" t="str">
        <f t="shared" si="24"/>
        <v>Involuntary</v>
      </c>
      <c r="N823" s="23" t="s">
        <v>26</v>
      </c>
    </row>
    <row r="824" spans="1:14" x14ac:dyDescent="0.25">
      <c r="A824" s="22">
        <v>4615</v>
      </c>
      <c r="B824" s="3">
        <v>42247</v>
      </c>
      <c r="C824" s="3">
        <v>44185</v>
      </c>
      <c r="D824" s="2">
        <f t="shared" si="25"/>
        <v>5</v>
      </c>
      <c r="E824" s="4" t="str" cm="1">
        <f t="array" ref="E824">_xlfn.IFS(
D824&lt;=5,"Newcomer",
D824&lt;=10,"Proficient",
D824&gt;10,"Expert"
)</f>
        <v>Newcomer</v>
      </c>
      <c r="F824" s="2" t="s">
        <v>112</v>
      </c>
      <c r="G824" s="5" t="s">
        <v>62</v>
      </c>
      <c r="H824" s="5" t="s">
        <v>63</v>
      </c>
      <c r="I824" s="2">
        <v>24</v>
      </c>
      <c r="J824" s="2" t="s">
        <v>17</v>
      </c>
      <c r="K824" s="2" t="s">
        <v>18</v>
      </c>
      <c r="L824" s="2" t="s">
        <v>96</v>
      </c>
      <c r="M824" s="4" t="str">
        <f t="shared" si="24"/>
        <v>Involuntary</v>
      </c>
      <c r="N824" s="23" t="s">
        <v>26</v>
      </c>
    </row>
    <row r="825" spans="1:14" x14ac:dyDescent="0.25">
      <c r="A825" s="22">
        <v>4617</v>
      </c>
      <c r="B825" s="3">
        <v>35820</v>
      </c>
      <c r="C825" s="3">
        <v>43915</v>
      </c>
      <c r="D825" s="2">
        <f t="shared" si="25"/>
        <v>22</v>
      </c>
      <c r="E825" s="4" t="str" cm="1">
        <f t="array" ref="E825">_xlfn.IFS(
D825&lt;=5,"Newcomer",
D825&lt;=10,"Proficient",
D825&gt;10,"Expert"
)</f>
        <v>Expert</v>
      </c>
      <c r="F825" s="2" t="s">
        <v>106</v>
      </c>
      <c r="G825" s="5" t="s">
        <v>42</v>
      </c>
      <c r="H825" s="5" t="s">
        <v>105</v>
      </c>
      <c r="I825" s="2">
        <v>20</v>
      </c>
      <c r="J825" s="2" t="s">
        <v>24</v>
      </c>
      <c r="K825" s="2" t="s">
        <v>25</v>
      </c>
      <c r="L825" s="2" t="s">
        <v>96</v>
      </c>
      <c r="M825" s="4" t="str">
        <f t="shared" si="24"/>
        <v>Involuntary</v>
      </c>
      <c r="N825" s="23" t="s">
        <v>26</v>
      </c>
    </row>
    <row r="826" spans="1:14" x14ac:dyDescent="0.25">
      <c r="A826" s="22">
        <v>4619</v>
      </c>
      <c r="B826" s="3">
        <v>33156</v>
      </c>
      <c r="C826" s="3">
        <v>44032</v>
      </c>
      <c r="D826" s="2">
        <f t="shared" si="25"/>
        <v>30</v>
      </c>
      <c r="E826" s="4" t="str" cm="1">
        <f t="array" ref="E826">_xlfn.IFS(
D826&lt;=5,"Newcomer",
D826&lt;=10,"Proficient",
D826&gt;10,"Expert"
)</f>
        <v>Expert</v>
      </c>
      <c r="F826" s="2" t="s">
        <v>87</v>
      </c>
      <c r="G826" s="5" t="s">
        <v>42</v>
      </c>
      <c r="H826" s="5" t="s">
        <v>105</v>
      </c>
      <c r="I826" s="2">
        <v>40</v>
      </c>
      <c r="J826" s="2" t="s">
        <v>24</v>
      </c>
      <c r="K826" s="2" t="s">
        <v>25</v>
      </c>
      <c r="L826" s="2" t="s">
        <v>96</v>
      </c>
      <c r="M826" s="4" t="str">
        <f t="shared" si="24"/>
        <v>Involuntary</v>
      </c>
      <c r="N826" s="23" t="s">
        <v>26</v>
      </c>
    </row>
    <row r="827" spans="1:14" x14ac:dyDescent="0.25">
      <c r="A827" s="22">
        <v>4621</v>
      </c>
      <c r="B827" s="3">
        <v>42301</v>
      </c>
      <c r="C827" s="3">
        <v>44160</v>
      </c>
      <c r="D827" s="2">
        <f t="shared" si="25"/>
        <v>5</v>
      </c>
      <c r="E827" s="4" t="str" cm="1">
        <f t="array" ref="E827">_xlfn.IFS(
D827&lt;=5,"Newcomer",
D827&lt;=10,"Proficient",
D827&gt;10,"Expert"
)</f>
        <v>Newcomer</v>
      </c>
      <c r="F827" s="2" t="s">
        <v>69</v>
      </c>
      <c r="G827" s="5" t="s">
        <v>42</v>
      </c>
      <c r="H827" s="5" t="s">
        <v>105</v>
      </c>
      <c r="I827" s="2">
        <v>28</v>
      </c>
      <c r="J827" s="2" t="s">
        <v>24</v>
      </c>
      <c r="K827" s="2" t="s">
        <v>25</v>
      </c>
      <c r="L827" s="2" t="s">
        <v>96</v>
      </c>
      <c r="M827" s="4" t="str">
        <f t="shared" si="24"/>
        <v>Involuntary</v>
      </c>
      <c r="N827" s="23" t="s">
        <v>26</v>
      </c>
    </row>
    <row r="828" spans="1:14" x14ac:dyDescent="0.25">
      <c r="A828" s="22">
        <v>4628</v>
      </c>
      <c r="B828" s="3">
        <v>35563</v>
      </c>
      <c r="C828" s="3">
        <v>44192</v>
      </c>
      <c r="D828" s="2">
        <f t="shared" si="25"/>
        <v>23</v>
      </c>
      <c r="E828" s="4" t="str" cm="1">
        <f t="array" ref="E828">_xlfn.IFS(
D828&lt;=5,"Newcomer",
D828&lt;=10,"Proficient",
D828&gt;10,"Expert"
)</f>
        <v>Expert</v>
      </c>
      <c r="F828" s="2" t="s">
        <v>89</v>
      </c>
      <c r="G828" s="5" t="s">
        <v>42</v>
      </c>
      <c r="H828" s="5" t="s">
        <v>105</v>
      </c>
      <c r="I828" s="2">
        <v>33</v>
      </c>
      <c r="J828" s="2" t="s">
        <v>17</v>
      </c>
      <c r="K828" s="2" t="s">
        <v>18</v>
      </c>
      <c r="L828" s="2" t="s">
        <v>96</v>
      </c>
      <c r="M828" s="4" t="str">
        <f t="shared" si="24"/>
        <v>Involuntary</v>
      </c>
      <c r="N828" s="23" t="s">
        <v>26</v>
      </c>
    </row>
    <row r="829" spans="1:14" x14ac:dyDescent="0.25">
      <c r="A829" s="22">
        <v>4632</v>
      </c>
      <c r="B829" s="3">
        <v>32882</v>
      </c>
      <c r="C829" s="3">
        <v>43986</v>
      </c>
      <c r="D829" s="2">
        <f t="shared" si="25"/>
        <v>30</v>
      </c>
      <c r="E829" s="4" t="str" cm="1">
        <f t="array" ref="E829">_xlfn.IFS(
D829&lt;=5,"Newcomer",
D829&lt;=10,"Proficient",
D829&gt;10,"Expert"
)</f>
        <v>Expert</v>
      </c>
      <c r="F829" s="2" t="s">
        <v>90</v>
      </c>
      <c r="G829" s="5" t="s">
        <v>42</v>
      </c>
      <c r="H829" s="5" t="s">
        <v>105</v>
      </c>
      <c r="I829" s="2">
        <v>26</v>
      </c>
      <c r="J829" s="2" t="s">
        <v>17</v>
      </c>
      <c r="K829" s="2" t="s">
        <v>18</v>
      </c>
      <c r="L829" s="2" t="s">
        <v>96</v>
      </c>
      <c r="M829" s="4" t="str">
        <f t="shared" si="24"/>
        <v>Involuntary</v>
      </c>
      <c r="N829" s="23" t="s">
        <v>26</v>
      </c>
    </row>
    <row r="830" spans="1:14" x14ac:dyDescent="0.25">
      <c r="A830" s="22">
        <v>4633</v>
      </c>
      <c r="B830" s="3">
        <v>39116</v>
      </c>
      <c r="C830" s="3">
        <v>43870</v>
      </c>
      <c r="D830" s="2">
        <f t="shared" si="25"/>
        <v>13</v>
      </c>
      <c r="E830" s="4" t="str" cm="1">
        <f t="array" ref="E830">_xlfn.IFS(
D830&lt;=5,"Newcomer",
D830&lt;=10,"Proficient",
D830&gt;10,"Expert"
)</f>
        <v>Expert</v>
      </c>
      <c r="F830" s="2" t="s">
        <v>73</v>
      </c>
      <c r="G830" s="5" t="s">
        <v>42</v>
      </c>
      <c r="H830" s="5" t="s">
        <v>105</v>
      </c>
      <c r="I830" s="2">
        <v>32</v>
      </c>
      <c r="J830" s="2" t="s">
        <v>17</v>
      </c>
      <c r="K830" s="2" t="s">
        <v>18</v>
      </c>
      <c r="L830" s="2" t="s">
        <v>96</v>
      </c>
      <c r="M830" s="4" t="str">
        <f t="shared" si="24"/>
        <v>Involuntary</v>
      </c>
      <c r="N830" s="23" t="s">
        <v>26</v>
      </c>
    </row>
    <row r="831" spans="1:14" x14ac:dyDescent="0.25">
      <c r="A831" s="22">
        <v>4634</v>
      </c>
      <c r="B831" s="3">
        <v>38193</v>
      </c>
      <c r="C831" s="3">
        <v>43956</v>
      </c>
      <c r="D831" s="2">
        <f t="shared" si="25"/>
        <v>16</v>
      </c>
      <c r="E831" s="4" t="str" cm="1">
        <f t="array" ref="E831">_xlfn.IFS(
D831&lt;=5,"Newcomer",
D831&lt;=10,"Proficient",
D831&gt;10,"Expert"
)</f>
        <v>Expert</v>
      </c>
      <c r="F831" s="2" t="s">
        <v>73</v>
      </c>
      <c r="G831" s="5" t="s">
        <v>42</v>
      </c>
      <c r="H831" s="5" t="s">
        <v>105</v>
      </c>
      <c r="I831" s="2">
        <v>32</v>
      </c>
      <c r="J831" s="2" t="s">
        <v>24</v>
      </c>
      <c r="K831" s="2" t="s">
        <v>25</v>
      </c>
      <c r="L831" s="2" t="s">
        <v>96</v>
      </c>
      <c r="M831" s="4" t="str">
        <f t="shared" si="24"/>
        <v>Involuntary</v>
      </c>
      <c r="N831" s="23" t="s">
        <v>26</v>
      </c>
    </row>
    <row r="832" spans="1:14" x14ac:dyDescent="0.25">
      <c r="A832" s="22">
        <v>4635</v>
      </c>
      <c r="B832" s="3">
        <v>34288</v>
      </c>
      <c r="C832" s="3">
        <v>44145</v>
      </c>
      <c r="D832" s="2">
        <f t="shared" si="25"/>
        <v>27</v>
      </c>
      <c r="E832" s="4" t="str" cm="1">
        <f t="array" ref="E832">_xlfn.IFS(
D832&lt;=5,"Newcomer",
D832&lt;=10,"Proficient",
D832&gt;10,"Expert"
)</f>
        <v>Expert</v>
      </c>
      <c r="F832" s="2" t="s">
        <v>107</v>
      </c>
      <c r="G832" s="5" t="s">
        <v>42</v>
      </c>
      <c r="H832" s="5" t="s">
        <v>105</v>
      </c>
      <c r="I832" s="2">
        <v>11</v>
      </c>
      <c r="J832" s="2" t="s">
        <v>24</v>
      </c>
      <c r="K832" s="2" t="s">
        <v>25</v>
      </c>
      <c r="L832" s="2" t="s">
        <v>96</v>
      </c>
      <c r="M832" s="4" t="str">
        <f t="shared" si="24"/>
        <v>Involuntary</v>
      </c>
      <c r="N832" s="23" t="s">
        <v>26</v>
      </c>
    </row>
    <row r="833" spans="1:14" x14ac:dyDescent="0.25">
      <c r="A833" s="22">
        <v>4636</v>
      </c>
      <c r="B833" s="3">
        <v>38049</v>
      </c>
      <c r="C833" s="3">
        <v>43998</v>
      </c>
      <c r="D833" s="2">
        <f t="shared" si="25"/>
        <v>16</v>
      </c>
      <c r="E833" s="4" t="str" cm="1">
        <f t="array" ref="E833">_xlfn.IFS(
D833&lt;=5,"Newcomer",
D833&lt;=10,"Proficient",
D833&gt;10,"Expert"
)</f>
        <v>Expert</v>
      </c>
      <c r="F833" s="2" t="s">
        <v>90</v>
      </c>
      <c r="G833" s="5" t="s">
        <v>42</v>
      </c>
      <c r="H833" s="5" t="s">
        <v>105</v>
      </c>
      <c r="I833" s="2">
        <v>26</v>
      </c>
      <c r="J833" s="2" t="s">
        <v>24</v>
      </c>
      <c r="K833" s="2" t="s">
        <v>25</v>
      </c>
      <c r="L833" s="2" t="s">
        <v>96</v>
      </c>
      <c r="M833" s="4" t="str">
        <f t="shared" si="24"/>
        <v>Involuntary</v>
      </c>
      <c r="N833" s="23" t="s">
        <v>26</v>
      </c>
    </row>
    <row r="834" spans="1:14" x14ac:dyDescent="0.25">
      <c r="A834" s="22">
        <v>4637</v>
      </c>
      <c r="B834" s="3">
        <v>34439</v>
      </c>
      <c r="C834" s="3">
        <v>44188</v>
      </c>
      <c r="D834" s="2">
        <f t="shared" si="25"/>
        <v>26</v>
      </c>
      <c r="E834" s="4" t="str" cm="1">
        <f t="array" ref="E834">_xlfn.IFS(
D834&lt;=5,"Newcomer",
D834&lt;=10,"Proficient",
D834&gt;10,"Expert"
)</f>
        <v>Expert</v>
      </c>
      <c r="F834" s="2" t="s">
        <v>78</v>
      </c>
      <c r="G834" s="5" t="s">
        <v>42</v>
      </c>
      <c r="H834" s="5" t="s">
        <v>105</v>
      </c>
      <c r="I834" s="2">
        <v>21</v>
      </c>
      <c r="J834" s="2" t="s">
        <v>17</v>
      </c>
      <c r="K834" s="2" t="s">
        <v>18</v>
      </c>
      <c r="L834" s="2" t="s">
        <v>96</v>
      </c>
      <c r="M834" s="4" t="str">
        <f t="shared" ref="M834:M897" si="26">IF(OR(L834="Retirement",L834="Resignation"),"Voluntary","Involuntary")</f>
        <v>Involuntary</v>
      </c>
      <c r="N834" s="23" t="s">
        <v>26</v>
      </c>
    </row>
    <row r="835" spans="1:14" x14ac:dyDescent="0.25">
      <c r="A835" s="22">
        <v>4641</v>
      </c>
      <c r="B835" s="3">
        <v>35157</v>
      </c>
      <c r="C835" s="3">
        <v>43996</v>
      </c>
      <c r="D835" s="2">
        <f t="shared" ref="D835:D898" si="27">YEAR(C835)-YEAR(B835)</f>
        <v>24</v>
      </c>
      <c r="E835" s="4" t="str" cm="1">
        <f t="array" ref="E835">_xlfn.IFS(
D835&lt;=5,"Newcomer",
D835&lt;=10,"Proficient",
D835&gt;10,"Expert"
)</f>
        <v>Expert</v>
      </c>
      <c r="F835" s="2" t="s">
        <v>81</v>
      </c>
      <c r="G835" s="5" t="s">
        <v>42</v>
      </c>
      <c r="H835" s="5" t="s">
        <v>105</v>
      </c>
      <c r="I835" s="2">
        <v>5</v>
      </c>
      <c r="J835" s="2" t="s">
        <v>24</v>
      </c>
      <c r="K835" s="2" t="s">
        <v>25</v>
      </c>
      <c r="L835" s="2" t="s">
        <v>96</v>
      </c>
      <c r="M835" s="4" t="str">
        <f t="shared" si="26"/>
        <v>Involuntary</v>
      </c>
      <c r="N835" s="23" t="s">
        <v>26</v>
      </c>
    </row>
    <row r="836" spans="1:14" x14ac:dyDescent="0.25">
      <c r="A836" s="22">
        <v>4643</v>
      </c>
      <c r="B836" s="3">
        <v>40920</v>
      </c>
      <c r="C836" s="3">
        <v>44103</v>
      </c>
      <c r="D836" s="2">
        <f t="shared" si="27"/>
        <v>8</v>
      </c>
      <c r="E836" s="4" t="str" cm="1">
        <f t="array" ref="E836">_xlfn.IFS(
D836&lt;=5,"Newcomer",
D836&lt;=10,"Proficient",
D836&gt;10,"Expert"
)</f>
        <v>Proficient</v>
      </c>
      <c r="F836" s="2" t="s">
        <v>70</v>
      </c>
      <c r="G836" s="5" t="s">
        <v>42</v>
      </c>
      <c r="H836" s="5" t="s">
        <v>105</v>
      </c>
      <c r="I836" s="2">
        <v>6</v>
      </c>
      <c r="J836" s="2" t="s">
        <v>24</v>
      </c>
      <c r="K836" s="2" t="s">
        <v>25</v>
      </c>
      <c r="L836" s="2" t="s">
        <v>96</v>
      </c>
      <c r="M836" s="4" t="str">
        <f t="shared" si="26"/>
        <v>Involuntary</v>
      </c>
      <c r="N836" s="23" t="s">
        <v>26</v>
      </c>
    </row>
    <row r="837" spans="1:14" x14ac:dyDescent="0.25">
      <c r="A837" s="22">
        <v>4645</v>
      </c>
      <c r="B837" s="3">
        <v>35448</v>
      </c>
      <c r="C837" s="3">
        <v>44179</v>
      </c>
      <c r="D837" s="2">
        <f t="shared" si="27"/>
        <v>23</v>
      </c>
      <c r="E837" s="4" t="str" cm="1">
        <f t="array" ref="E837">_xlfn.IFS(
D837&lt;=5,"Newcomer",
D837&lt;=10,"Proficient",
D837&gt;10,"Expert"
)</f>
        <v>Expert</v>
      </c>
      <c r="F837" s="2" t="s">
        <v>89</v>
      </c>
      <c r="G837" s="5" t="s">
        <v>42</v>
      </c>
      <c r="H837" s="5" t="s">
        <v>105</v>
      </c>
      <c r="I837" s="2">
        <v>33</v>
      </c>
      <c r="J837" s="2" t="s">
        <v>24</v>
      </c>
      <c r="K837" s="2" t="s">
        <v>25</v>
      </c>
      <c r="L837" s="2" t="s">
        <v>19</v>
      </c>
      <c r="M837" s="4" t="str">
        <f t="shared" si="26"/>
        <v>Voluntary</v>
      </c>
      <c r="N837" s="23" t="s">
        <v>26</v>
      </c>
    </row>
    <row r="838" spans="1:14" x14ac:dyDescent="0.25">
      <c r="A838" s="22">
        <v>4647</v>
      </c>
      <c r="B838" s="3">
        <v>40092</v>
      </c>
      <c r="C838" s="3">
        <v>44160</v>
      </c>
      <c r="D838" s="2">
        <f t="shared" si="27"/>
        <v>11</v>
      </c>
      <c r="E838" s="4" t="str" cm="1">
        <f t="array" ref="E838">_xlfn.IFS(
D838&lt;=5,"Newcomer",
D838&lt;=10,"Proficient",
D838&gt;10,"Expert"
)</f>
        <v>Expert</v>
      </c>
      <c r="F838" s="2" t="s">
        <v>69</v>
      </c>
      <c r="G838" s="5" t="s">
        <v>42</v>
      </c>
      <c r="H838" s="5" t="s">
        <v>105</v>
      </c>
      <c r="I838" s="2">
        <v>28</v>
      </c>
      <c r="J838" s="2" t="s">
        <v>24</v>
      </c>
      <c r="K838" s="2" t="s">
        <v>25</v>
      </c>
      <c r="L838" s="2" t="s">
        <v>19</v>
      </c>
      <c r="M838" s="4" t="str">
        <f t="shared" si="26"/>
        <v>Voluntary</v>
      </c>
      <c r="N838" s="23" t="s">
        <v>26</v>
      </c>
    </row>
    <row r="839" spans="1:14" x14ac:dyDescent="0.25">
      <c r="A839" s="22">
        <v>4649</v>
      </c>
      <c r="B839" s="3">
        <v>34681</v>
      </c>
      <c r="C839" s="3">
        <v>43854</v>
      </c>
      <c r="D839" s="2">
        <f t="shared" si="27"/>
        <v>26</v>
      </c>
      <c r="E839" s="4" t="str" cm="1">
        <f t="array" ref="E839">_xlfn.IFS(
D839&lt;=5,"Newcomer",
D839&lt;=10,"Proficient",
D839&gt;10,"Expert"
)</f>
        <v>Expert</v>
      </c>
      <c r="F839" s="2" t="s">
        <v>30</v>
      </c>
      <c r="G839" s="5" t="s">
        <v>42</v>
      </c>
      <c r="H839" s="5" t="s">
        <v>105</v>
      </c>
      <c r="I839" s="2">
        <v>37</v>
      </c>
      <c r="J839" s="2" t="s">
        <v>17</v>
      </c>
      <c r="K839" s="2" t="s">
        <v>18</v>
      </c>
      <c r="L839" s="2" t="s">
        <v>96</v>
      </c>
      <c r="M839" s="4" t="str">
        <f t="shared" si="26"/>
        <v>Involuntary</v>
      </c>
      <c r="N839" s="23" t="s">
        <v>26</v>
      </c>
    </row>
    <row r="840" spans="1:14" x14ac:dyDescent="0.25">
      <c r="A840" s="22">
        <v>4657</v>
      </c>
      <c r="B840" s="3">
        <v>40592</v>
      </c>
      <c r="C840" s="3">
        <v>44143</v>
      </c>
      <c r="D840" s="2">
        <f t="shared" si="27"/>
        <v>9</v>
      </c>
      <c r="E840" s="4" t="str" cm="1">
        <f t="array" ref="E840">_xlfn.IFS(
D840&lt;=5,"Newcomer",
D840&lt;=10,"Proficient",
D840&gt;10,"Expert"
)</f>
        <v>Proficient</v>
      </c>
      <c r="F840" s="2" t="s">
        <v>73</v>
      </c>
      <c r="G840" s="5" t="s">
        <v>42</v>
      </c>
      <c r="H840" s="5" t="s">
        <v>105</v>
      </c>
      <c r="I840" s="2">
        <v>32</v>
      </c>
      <c r="J840" s="2" t="s">
        <v>17</v>
      </c>
      <c r="K840" s="2" t="s">
        <v>18</v>
      </c>
      <c r="L840" s="2" t="s">
        <v>96</v>
      </c>
      <c r="M840" s="4" t="str">
        <f t="shared" si="26"/>
        <v>Involuntary</v>
      </c>
      <c r="N840" s="23" t="s">
        <v>26</v>
      </c>
    </row>
    <row r="841" spans="1:14" x14ac:dyDescent="0.25">
      <c r="A841" s="22">
        <v>4658</v>
      </c>
      <c r="B841" s="3">
        <v>41871</v>
      </c>
      <c r="C841" s="3">
        <v>43882</v>
      </c>
      <c r="D841" s="2">
        <f t="shared" si="27"/>
        <v>6</v>
      </c>
      <c r="E841" s="4" t="str" cm="1">
        <f t="array" ref="E841">_xlfn.IFS(
D841&lt;=5,"Newcomer",
D841&lt;=10,"Proficient",
D841&gt;10,"Expert"
)</f>
        <v>Proficient</v>
      </c>
      <c r="F841" s="2" t="s">
        <v>30</v>
      </c>
      <c r="G841" s="5" t="s">
        <v>42</v>
      </c>
      <c r="H841" s="5" t="s">
        <v>105</v>
      </c>
      <c r="I841" s="2">
        <v>37</v>
      </c>
      <c r="J841" s="2" t="s">
        <v>17</v>
      </c>
      <c r="K841" s="2" t="s">
        <v>18</v>
      </c>
      <c r="L841" s="2" t="s">
        <v>96</v>
      </c>
      <c r="M841" s="4" t="str">
        <f t="shared" si="26"/>
        <v>Involuntary</v>
      </c>
      <c r="N841" s="23" t="s">
        <v>26</v>
      </c>
    </row>
    <row r="842" spans="1:14" x14ac:dyDescent="0.25">
      <c r="A842" s="22">
        <v>4659</v>
      </c>
      <c r="B842" s="3">
        <v>32888</v>
      </c>
      <c r="C842" s="3">
        <v>44168</v>
      </c>
      <c r="D842" s="2">
        <f t="shared" si="27"/>
        <v>30</v>
      </c>
      <c r="E842" s="4" t="str" cm="1">
        <f t="array" ref="E842">_xlfn.IFS(
D842&lt;=5,"Newcomer",
D842&lt;=10,"Proficient",
D842&gt;10,"Expert"
)</f>
        <v>Expert</v>
      </c>
      <c r="F842" s="2" t="s">
        <v>74</v>
      </c>
      <c r="G842" s="5" t="s">
        <v>71</v>
      </c>
      <c r="H842" s="5" t="s">
        <v>116</v>
      </c>
      <c r="I842" s="2">
        <v>9</v>
      </c>
      <c r="J842" s="2" t="s">
        <v>24</v>
      </c>
      <c r="K842" s="2" t="s">
        <v>25</v>
      </c>
      <c r="L842" s="2" t="s">
        <v>96</v>
      </c>
      <c r="M842" s="4" t="str">
        <f t="shared" si="26"/>
        <v>Involuntary</v>
      </c>
      <c r="N842" s="23" t="s">
        <v>26</v>
      </c>
    </row>
    <row r="843" spans="1:14" x14ac:dyDescent="0.25">
      <c r="A843" s="22">
        <v>4662</v>
      </c>
      <c r="B843" s="3">
        <v>37124</v>
      </c>
      <c r="C843" s="3">
        <v>43925</v>
      </c>
      <c r="D843" s="2">
        <f t="shared" si="27"/>
        <v>19</v>
      </c>
      <c r="E843" s="4" t="str" cm="1">
        <f t="array" ref="E843">_xlfn.IFS(
D843&lt;=5,"Newcomer",
D843&lt;=10,"Proficient",
D843&gt;10,"Expert"
)</f>
        <v>Expert</v>
      </c>
      <c r="F843" s="2" t="s">
        <v>30</v>
      </c>
      <c r="G843" s="5" t="s">
        <v>42</v>
      </c>
      <c r="H843" s="5" t="s">
        <v>105</v>
      </c>
      <c r="I843" s="2">
        <v>37</v>
      </c>
      <c r="J843" s="2" t="s">
        <v>17</v>
      </c>
      <c r="K843" s="2" t="s">
        <v>18</v>
      </c>
      <c r="L843" s="2" t="s">
        <v>96</v>
      </c>
      <c r="M843" s="4" t="str">
        <f t="shared" si="26"/>
        <v>Involuntary</v>
      </c>
      <c r="N843" s="23" t="s">
        <v>26</v>
      </c>
    </row>
    <row r="844" spans="1:14" x14ac:dyDescent="0.25">
      <c r="A844" s="22">
        <v>4665</v>
      </c>
      <c r="B844" s="3">
        <v>40155</v>
      </c>
      <c r="C844" s="3">
        <v>44013</v>
      </c>
      <c r="D844" s="2">
        <f t="shared" si="27"/>
        <v>11</v>
      </c>
      <c r="E844" s="4" t="str" cm="1">
        <f t="array" ref="E844">_xlfn.IFS(
D844&lt;=5,"Newcomer",
D844&lt;=10,"Proficient",
D844&gt;10,"Expert"
)</f>
        <v>Expert</v>
      </c>
      <c r="F844" s="2" t="s">
        <v>30</v>
      </c>
      <c r="G844" s="5" t="s">
        <v>42</v>
      </c>
      <c r="H844" s="5" t="s">
        <v>105</v>
      </c>
      <c r="I844" s="2">
        <v>37</v>
      </c>
      <c r="J844" s="2" t="s">
        <v>24</v>
      </c>
      <c r="K844" s="2" t="s">
        <v>25</v>
      </c>
      <c r="L844" s="2" t="s">
        <v>96</v>
      </c>
      <c r="M844" s="4" t="str">
        <f t="shared" si="26"/>
        <v>Involuntary</v>
      </c>
      <c r="N844" s="23" t="s">
        <v>26</v>
      </c>
    </row>
    <row r="845" spans="1:14" x14ac:dyDescent="0.25">
      <c r="A845" s="22">
        <v>4666</v>
      </c>
      <c r="B845" s="3">
        <v>34843</v>
      </c>
      <c r="C845" s="3">
        <v>44147</v>
      </c>
      <c r="D845" s="2">
        <f t="shared" si="27"/>
        <v>25</v>
      </c>
      <c r="E845" s="4" t="str" cm="1">
        <f t="array" ref="E845">_xlfn.IFS(
D845&lt;=5,"Newcomer",
D845&lt;=10,"Proficient",
D845&gt;10,"Expert"
)</f>
        <v>Expert</v>
      </c>
      <c r="F845" s="2" t="s">
        <v>30</v>
      </c>
      <c r="G845" s="5" t="s">
        <v>71</v>
      </c>
      <c r="H845" s="5" t="s">
        <v>116</v>
      </c>
      <c r="I845" s="2">
        <v>46</v>
      </c>
      <c r="J845" s="2" t="s">
        <v>17</v>
      </c>
      <c r="K845" s="2" t="s">
        <v>18</v>
      </c>
      <c r="L845" s="2" t="s">
        <v>50</v>
      </c>
      <c r="M845" s="4" t="str">
        <f t="shared" si="26"/>
        <v>Voluntary</v>
      </c>
      <c r="N845" s="23" t="s">
        <v>26</v>
      </c>
    </row>
    <row r="846" spans="1:14" x14ac:dyDescent="0.25">
      <c r="A846" s="22">
        <v>4669</v>
      </c>
      <c r="B846" s="3">
        <v>40758</v>
      </c>
      <c r="C846" s="3">
        <v>44066</v>
      </c>
      <c r="D846" s="2">
        <f t="shared" si="27"/>
        <v>9</v>
      </c>
      <c r="E846" s="4" t="str" cm="1">
        <f t="array" ref="E846">_xlfn.IFS(
D846&lt;=5,"Newcomer",
D846&lt;=10,"Proficient",
D846&gt;10,"Expert"
)</f>
        <v>Proficient</v>
      </c>
      <c r="F846" s="2" t="s">
        <v>78</v>
      </c>
      <c r="G846" s="5" t="s">
        <v>42</v>
      </c>
      <c r="H846" s="5" t="s">
        <v>105</v>
      </c>
      <c r="I846" s="2">
        <v>21</v>
      </c>
      <c r="J846" s="2" t="s">
        <v>24</v>
      </c>
      <c r="K846" s="2" t="s">
        <v>25</v>
      </c>
      <c r="L846" s="2" t="s">
        <v>96</v>
      </c>
      <c r="M846" s="4" t="str">
        <f t="shared" si="26"/>
        <v>Involuntary</v>
      </c>
      <c r="N846" s="23" t="s">
        <v>26</v>
      </c>
    </row>
    <row r="847" spans="1:14" x14ac:dyDescent="0.25">
      <c r="A847" s="22">
        <v>4670</v>
      </c>
      <c r="B847" s="3">
        <v>33794</v>
      </c>
      <c r="C847" s="3">
        <v>43864</v>
      </c>
      <c r="D847" s="2">
        <f t="shared" si="27"/>
        <v>28</v>
      </c>
      <c r="E847" s="4" t="str" cm="1">
        <f t="array" ref="E847">_xlfn.IFS(
D847&lt;=5,"Newcomer",
D847&lt;=10,"Proficient",
D847&gt;10,"Expert"
)</f>
        <v>Expert</v>
      </c>
      <c r="F847" s="2" t="s">
        <v>14</v>
      </c>
      <c r="G847" s="5" t="s">
        <v>35</v>
      </c>
      <c r="H847" s="5" t="s">
        <v>76</v>
      </c>
      <c r="I847" s="2">
        <v>35</v>
      </c>
      <c r="J847" s="2" t="s">
        <v>17</v>
      </c>
      <c r="K847" s="2" t="s">
        <v>18</v>
      </c>
      <c r="L847" s="2" t="s">
        <v>96</v>
      </c>
      <c r="M847" s="4" t="str">
        <f t="shared" si="26"/>
        <v>Involuntary</v>
      </c>
      <c r="N847" s="23" t="s">
        <v>26</v>
      </c>
    </row>
    <row r="848" spans="1:14" x14ac:dyDescent="0.25">
      <c r="A848" s="22">
        <v>4671</v>
      </c>
      <c r="B848" s="3">
        <v>38037</v>
      </c>
      <c r="C848" s="3">
        <v>43842</v>
      </c>
      <c r="D848" s="2">
        <f t="shared" si="27"/>
        <v>16</v>
      </c>
      <c r="E848" s="4" t="str" cm="1">
        <f t="array" ref="E848">_xlfn.IFS(
D848&lt;=5,"Newcomer",
D848&lt;=10,"Proficient",
D848&gt;10,"Expert"
)</f>
        <v>Expert</v>
      </c>
      <c r="F848" s="2" t="s">
        <v>14</v>
      </c>
      <c r="G848" s="5" t="s">
        <v>35</v>
      </c>
      <c r="H848" s="5" t="s">
        <v>76</v>
      </c>
      <c r="I848" s="2">
        <v>35</v>
      </c>
      <c r="J848" s="2" t="s">
        <v>24</v>
      </c>
      <c r="K848" s="2" t="s">
        <v>25</v>
      </c>
      <c r="L848" s="2" t="s">
        <v>96</v>
      </c>
      <c r="M848" s="4" t="str">
        <f t="shared" si="26"/>
        <v>Involuntary</v>
      </c>
      <c r="N848" s="23" t="s">
        <v>26</v>
      </c>
    </row>
    <row r="849" spans="1:14" x14ac:dyDescent="0.25">
      <c r="A849" s="22">
        <v>4672</v>
      </c>
      <c r="B849" s="3">
        <v>33047</v>
      </c>
      <c r="C849" s="3">
        <v>43853</v>
      </c>
      <c r="D849" s="2">
        <f t="shared" si="27"/>
        <v>30</v>
      </c>
      <c r="E849" s="4" t="str" cm="1">
        <f t="array" ref="E849">_xlfn.IFS(
D849&lt;=5,"Newcomer",
D849&lt;=10,"Proficient",
D849&gt;10,"Expert"
)</f>
        <v>Expert</v>
      </c>
      <c r="F849" s="2" t="s">
        <v>44</v>
      </c>
      <c r="G849" s="5" t="s">
        <v>42</v>
      </c>
      <c r="H849" s="5" t="s">
        <v>105</v>
      </c>
      <c r="I849" s="2">
        <v>18</v>
      </c>
      <c r="J849" s="2" t="s">
        <v>17</v>
      </c>
      <c r="K849" s="2" t="s">
        <v>18</v>
      </c>
      <c r="L849" s="2" t="s">
        <v>96</v>
      </c>
      <c r="M849" s="4" t="str">
        <f t="shared" si="26"/>
        <v>Involuntary</v>
      </c>
      <c r="N849" s="23" t="s">
        <v>26</v>
      </c>
    </row>
    <row r="850" spans="1:14" x14ac:dyDescent="0.25">
      <c r="A850" s="22">
        <v>4675</v>
      </c>
      <c r="B850" s="3">
        <v>38600</v>
      </c>
      <c r="C850" s="3">
        <v>44143</v>
      </c>
      <c r="D850" s="2">
        <f t="shared" si="27"/>
        <v>15</v>
      </c>
      <c r="E850" s="4" t="str" cm="1">
        <f t="array" ref="E850">_xlfn.IFS(
D850&lt;=5,"Newcomer",
D850&lt;=10,"Proficient",
D850&gt;10,"Expert"
)</f>
        <v>Expert</v>
      </c>
      <c r="F850" s="2" t="s">
        <v>91</v>
      </c>
      <c r="G850" s="5" t="s">
        <v>42</v>
      </c>
      <c r="H850" s="5" t="s">
        <v>105</v>
      </c>
      <c r="I850" s="2">
        <v>29</v>
      </c>
      <c r="J850" s="2" t="s">
        <v>17</v>
      </c>
      <c r="K850" s="2" t="s">
        <v>18</v>
      </c>
      <c r="L850" s="2" t="s">
        <v>96</v>
      </c>
      <c r="M850" s="4" t="str">
        <f t="shared" si="26"/>
        <v>Involuntary</v>
      </c>
      <c r="N850" s="23" t="s">
        <v>26</v>
      </c>
    </row>
    <row r="851" spans="1:14" x14ac:dyDescent="0.25">
      <c r="A851" s="22">
        <v>4679</v>
      </c>
      <c r="B851" s="3">
        <v>36418</v>
      </c>
      <c r="C851" s="3">
        <v>44011</v>
      </c>
      <c r="D851" s="2">
        <f t="shared" si="27"/>
        <v>21</v>
      </c>
      <c r="E851" s="4" t="str" cm="1">
        <f t="array" ref="E851">_xlfn.IFS(
D851&lt;=5,"Newcomer",
D851&lt;=10,"Proficient",
D851&gt;10,"Expert"
)</f>
        <v>Expert</v>
      </c>
      <c r="F851" s="2" t="s">
        <v>14</v>
      </c>
      <c r="G851" s="5" t="s">
        <v>35</v>
      </c>
      <c r="H851" s="5" t="s">
        <v>76</v>
      </c>
      <c r="I851" s="2">
        <v>35</v>
      </c>
      <c r="J851" s="2" t="s">
        <v>24</v>
      </c>
      <c r="K851" s="2" t="s">
        <v>25</v>
      </c>
      <c r="L851" s="2" t="s">
        <v>96</v>
      </c>
      <c r="M851" s="4" t="str">
        <f t="shared" si="26"/>
        <v>Involuntary</v>
      </c>
      <c r="N851" s="23" t="s">
        <v>26</v>
      </c>
    </row>
    <row r="852" spans="1:14" x14ac:dyDescent="0.25">
      <c r="A852" s="22">
        <v>4680</v>
      </c>
      <c r="B852" s="3">
        <v>38549</v>
      </c>
      <c r="C852" s="3">
        <v>44077</v>
      </c>
      <c r="D852" s="2">
        <f t="shared" si="27"/>
        <v>15</v>
      </c>
      <c r="E852" s="4" t="str" cm="1">
        <f t="array" ref="E852">_xlfn.IFS(
D852&lt;=5,"Newcomer",
D852&lt;=10,"Proficient",
D852&gt;10,"Expert"
)</f>
        <v>Expert</v>
      </c>
      <c r="F852" s="2" t="s">
        <v>108</v>
      </c>
      <c r="G852" s="5" t="s">
        <v>67</v>
      </c>
      <c r="H852" s="5" t="s">
        <v>113</v>
      </c>
      <c r="I852" s="2">
        <v>14</v>
      </c>
      <c r="J852" s="2" t="s">
        <v>17</v>
      </c>
      <c r="K852" s="2" t="s">
        <v>18</v>
      </c>
      <c r="L852" s="2" t="s">
        <v>96</v>
      </c>
      <c r="M852" s="4" t="str">
        <f t="shared" si="26"/>
        <v>Involuntary</v>
      </c>
      <c r="N852" s="23" t="s">
        <v>26</v>
      </c>
    </row>
    <row r="853" spans="1:14" x14ac:dyDescent="0.25">
      <c r="A853" s="22">
        <v>4689</v>
      </c>
      <c r="B853" s="3">
        <v>36876</v>
      </c>
      <c r="C853" s="3">
        <v>43870</v>
      </c>
      <c r="D853" s="2">
        <f t="shared" si="27"/>
        <v>20</v>
      </c>
      <c r="E853" s="4" t="str" cm="1">
        <f t="array" ref="E853">_xlfn.IFS(
D853&lt;=5,"Newcomer",
D853&lt;=10,"Proficient",
D853&gt;10,"Expert"
)</f>
        <v>Expert</v>
      </c>
      <c r="F853" s="2" t="s">
        <v>14</v>
      </c>
      <c r="G853" s="5" t="s">
        <v>35</v>
      </c>
      <c r="H853" s="5" t="s">
        <v>76</v>
      </c>
      <c r="I853" s="2">
        <v>35</v>
      </c>
      <c r="J853" s="2" t="s">
        <v>24</v>
      </c>
      <c r="K853" s="2" t="s">
        <v>25</v>
      </c>
      <c r="L853" s="2" t="s">
        <v>96</v>
      </c>
      <c r="M853" s="4" t="str">
        <f t="shared" si="26"/>
        <v>Involuntary</v>
      </c>
      <c r="N853" s="23" t="s">
        <v>26</v>
      </c>
    </row>
    <row r="854" spans="1:14" x14ac:dyDescent="0.25">
      <c r="A854" s="22">
        <v>4690</v>
      </c>
      <c r="B854" s="3">
        <v>33969</v>
      </c>
      <c r="C854" s="3">
        <v>44124</v>
      </c>
      <c r="D854" s="2">
        <f t="shared" si="27"/>
        <v>28</v>
      </c>
      <c r="E854" s="4" t="str" cm="1">
        <f t="array" ref="E854">_xlfn.IFS(
D854&lt;=5,"Newcomer",
D854&lt;=10,"Proficient",
D854&gt;10,"Expert"
)</f>
        <v>Expert</v>
      </c>
      <c r="F854" s="2" t="s">
        <v>90</v>
      </c>
      <c r="G854" s="5" t="s">
        <v>42</v>
      </c>
      <c r="H854" s="5" t="s">
        <v>105</v>
      </c>
      <c r="I854" s="2">
        <v>26</v>
      </c>
      <c r="J854" s="2" t="s">
        <v>17</v>
      </c>
      <c r="K854" s="2" t="s">
        <v>18</v>
      </c>
      <c r="L854" s="2" t="s">
        <v>96</v>
      </c>
      <c r="M854" s="4" t="str">
        <f t="shared" si="26"/>
        <v>Involuntary</v>
      </c>
      <c r="N854" s="23" t="s">
        <v>26</v>
      </c>
    </row>
    <row r="855" spans="1:14" x14ac:dyDescent="0.25">
      <c r="A855" s="22">
        <v>4692</v>
      </c>
      <c r="B855" s="3">
        <v>37929</v>
      </c>
      <c r="C855" s="3">
        <v>44054</v>
      </c>
      <c r="D855" s="2">
        <f t="shared" si="27"/>
        <v>17</v>
      </c>
      <c r="E855" s="4" t="str" cm="1">
        <f t="array" ref="E855">_xlfn.IFS(
D855&lt;=5,"Newcomer",
D855&lt;=10,"Proficient",
D855&gt;10,"Expert"
)</f>
        <v>Expert</v>
      </c>
      <c r="F855" s="2" t="s">
        <v>66</v>
      </c>
      <c r="G855" s="5" t="s">
        <v>42</v>
      </c>
      <c r="H855" s="5" t="s">
        <v>105</v>
      </c>
      <c r="I855" s="2">
        <v>36</v>
      </c>
      <c r="J855" s="2" t="s">
        <v>17</v>
      </c>
      <c r="K855" s="2" t="s">
        <v>18</v>
      </c>
      <c r="L855" s="2" t="s">
        <v>96</v>
      </c>
      <c r="M855" s="4" t="str">
        <f t="shared" si="26"/>
        <v>Involuntary</v>
      </c>
      <c r="N855" s="23" t="s">
        <v>26</v>
      </c>
    </row>
    <row r="856" spans="1:14" x14ac:dyDescent="0.25">
      <c r="A856" s="22">
        <v>4694</v>
      </c>
      <c r="B856" s="3">
        <v>38393</v>
      </c>
      <c r="C856" s="3">
        <v>44095</v>
      </c>
      <c r="D856" s="2">
        <f t="shared" si="27"/>
        <v>15</v>
      </c>
      <c r="E856" s="4" t="str" cm="1">
        <f t="array" ref="E856">_xlfn.IFS(
D856&lt;=5,"Newcomer",
D856&lt;=10,"Proficient",
D856&gt;10,"Expert"
)</f>
        <v>Expert</v>
      </c>
      <c r="F856" s="2" t="s">
        <v>14</v>
      </c>
      <c r="G856" s="5" t="s">
        <v>35</v>
      </c>
      <c r="H856" s="5" t="s">
        <v>76</v>
      </c>
      <c r="I856" s="2">
        <v>35</v>
      </c>
      <c r="J856" s="2" t="s">
        <v>24</v>
      </c>
      <c r="K856" s="2" t="s">
        <v>25</v>
      </c>
      <c r="L856" s="2" t="s">
        <v>96</v>
      </c>
      <c r="M856" s="4" t="str">
        <f t="shared" si="26"/>
        <v>Involuntary</v>
      </c>
      <c r="N856" s="23" t="s">
        <v>26</v>
      </c>
    </row>
    <row r="857" spans="1:14" x14ac:dyDescent="0.25">
      <c r="A857" s="22">
        <v>4697</v>
      </c>
      <c r="B857" s="3">
        <v>36129</v>
      </c>
      <c r="C857" s="3">
        <v>43948</v>
      </c>
      <c r="D857" s="2">
        <f t="shared" si="27"/>
        <v>22</v>
      </c>
      <c r="E857" s="4" t="str" cm="1">
        <f t="array" ref="E857">_xlfn.IFS(
D857&lt;=5,"Newcomer",
D857&lt;=10,"Proficient",
D857&gt;10,"Expert"
)</f>
        <v>Expert</v>
      </c>
      <c r="F857" s="2" t="s">
        <v>14</v>
      </c>
      <c r="G857" s="5" t="s">
        <v>35</v>
      </c>
      <c r="H857" s="5" t="s">
        <v>76</v>
      </c>
      <c r="I857" s="2">
        <v>35</v>
      </c>
      <c r="J857" s="2" t="s">
        <v>24</v>
      </c>
      <c r="K857" s="2" t="s">
        <v>25</v>
      </c>
      <c r="L857" s="2" t="s">
        <v>96</v>
      </c>
      <c r="M857" s="4" t="str">
        <f t="shared" si="26"/>
        <v>Involuntary</v>
      </c>
      <c r="N857" s="23" t="s">
        <v>26</v>
      </c>
    </row>
    <row r="858" spans="1:14" x14ac:dyDescent="0.25">
      <c r="A858" s="22">
        <v>4702</v>
      </c>
      <c r="B858" s="3">
        <v>40271</v>
      </c>
      <c r="C858" s="3">
        <v>43878</v>
      </c>
      <c r="D858" s="2">
        <f t="shared" si="27"/>
        <v>10</v>
      </c>
      <c r="E858" s="4" t="str" cm="1">
        <f t="array" ref="E858">_xlfn.IFS(
D858&lt;=5,"Newcomer",
D858&lt;=10,"Proficient",
D858&gt;10,"Expert"
)</f>
        <v>Proficient</v>
      </c>
      <c r="F858" s="2" t="s">
        <v>78</v>
      </c>
      <c r="G858" s="5" t="s">
        <v>42</v>
      </c>
      <c r="H858" s="5" t="s">
        <v>105</v>
      </c>
      <c r="I858" s="2">
        <v>21</v>
      </c>
      <c r="J858" s="2" t="s">
        <v>17</v>
      </c>
      <c r="K858" s="2" t="s">
        <v>18</v>
      </c>
      <c r="L858" s="2" t="s">
        <v>96</v>
      </c>
      <c r="M858" s="4" t="str">
        <f t="shared" si="26"/>
        <v>Involuntary</v>
      </c>
      <c r="N858" s="23" t="s">
        <v>26</v>
      </c>
    </row>
    <row r="859" spans="1:14" x14ac:dyDescent="0.25">
      <c r="A859" s="22">
        <v>4705</v>
      </c>
      <c r="B859" s="3">
        <v>40468</v>
      </c>
      <c r="C859" s="3">
        <v>44129</v>
      </c>
      <c r="D859" s="2">
        <f t="shared" si="27"/>
        <v>10</v>
      </c>
      <c r="E859" s="4" t="str" cm="1">
        <f t="array" ref="E859">_xlfn.IFS(
D859&lt;=5,"Newcomer",
D859&lt;=10,"Proficient",
D859&gt;10,"Expert"
)</f>
        <v>Proficient</v>
      </c>
      <c r="F859" s="2" t="s">
        <v>90</v>
      </c>
      <c r="G859" s="5" t="s">
        <v>42</v>
      </c>
      <c r="H859" s="5" t="s">
        <v>105</v>
      </c>
      <c r="I859" s="2">
        <v>26</v>
      </c>
      <c r="J859" s="2" t="s">
        <v>17</v>
      </c>
      <c r="K859" s="2" t="s">
        <v>18</v>
      </c>
      <c r="L859" s="2" t="s">
        <v>96</v>
      </c>
      <c r="M859" s="4" t="str">
        <f t="shared" si="26"/>
        <v>Involuntary</v>
      </c>
      <c r="N859" s="23" t="s">
        <v>26</v>
      </c>
    </row>
    <row r="860" spans="1:14" x14ac:dyDescent="0.25">
      <c r="A860" s="22">
        <v>4707</v>
      </c>
      <c r="B860" s="3">
        <v>33210</v>
      </c>
      <c r="C860" s="3">
        <v>43982</v>
      </c>
      <c r="D860" s="2">
        <f t="shared" si="27"/>
        <v>30</v>
      </c>
      <c r="E860" s="4" t="str" cm="1">
        <f t="array" ref="E860">_xlfn.IFS(
D860&lt;=5,"Newcomer",
D860&lt;=10,"Proficient",
D860&gt;10,"Expert"
)</f>
        <v>Expert</v>
      </c>
      <c r="F860" s="2" t="s">
        <v>102</v>
      </c>
      <c r="G860" s="5" t="s">
        <v>47</v>
      </c>
      <c r="H860" s="5" t="s">
        <v>95</v>
      </c>
      <c r="I860" s="2">
        <v>1</v>
      </c>
      <c r="J860" s="2" t="s">
        <v>24</v>
      </c>
      <c r="K860" s="2" t="s">
        <v>25</v>
      </c>
      <c r="L860" s="2" t="s">
        <v>96</v>
      </c>
      <c r="M860" s="4" t="str">
        <f t="shared" si="26"/>
        <v>Involuntary</v>
      </c>
      <c r="N860" s="23" t="s">
        <v>26</v>
      </c>
    </row>
    <row r="861" spans="1:14" x14ac:dyDescent="0.25">
      <c r="A861" s="22">
        <v>4708</v>
      </c>
      <c r="B861" s="3">
        <v>33682</v>
      </c>
      <c r="C861" s="3">
        <v>43969</v>
      </c>
      <c r="D861" s="2">
        <f t="shared" si="27"/>
        <v>28</v>
      </c>
      <c r="E861" s="4" t="str" cm="1">
        <f t="array" ref="E861">_xlfn.IFS(
D861&lt;=5,"Newcomer",
D861&lt;=10,"Proficient",
D861&gt;10,"Expert"
)</f>
        <v>Expert</v>
      </c>
      <c r="F861" s="2" t="s">
        <v>78</v>
      </c>
      <c r="G861" s="5" t="s">
        <v>42</v>
      </c>
      <c r="H861" s="5" t="s">
        <v>105</v>
      </c>
      <c r="I861" s="2">
        <v>21</v>
      </c>
      <c r="J861" s="2" t="s">
        <v>17</v>
      </c>
      <c r="K861" s="2" t="s">
        <v>18</v>
      </c>
      <c r="L861" s="2" t="s">
        <v>96</v>
      </c>
      <c r="M861" s="4" t="str">
        <f t="shared" si="26"/>
        <v>Involuntary</v>
      </c>
      <c r="N861" s="23" t="s">
        <v>26</v>
      </c>
    </row>
    <row r="862" spans="1:14" x14ac:dyDescent="0.25">
      <c r="A862" s="22">
        <v>4710</v>
      </c>
      <c r="B862" s="3">
        <v>40934</v>
      </c>
      <c r="C862" s="3">
        <v>44084</v>
      </c>
      <c r="D862" s="2">
        <f t="shared" si="27"/>
        <v>8</v>
      </c>
      <c r="E862" s="4" t="str" cm="1">
        <f t="array" ref="E862">_xlfn.IFS(
D862&lt;=5,"Newcomer",
D862&lt;=10,"Proficient",
D862&gt;10,"Expert"
)</f>
        <v>Proficient</v>
      </c>
      <c r="F862" s="2" t="s">
        <v>100</v>
      </c>
      <c r="G862" s="5" t="s">
        <v>67</v>
      </c>
      <c r="H862" s="5" t="s">
        <v>68</v>
      </c>
      <c r="I862" s="2">
        <v>13</v>
      </c>
      <c r="J862" s="2" t="s">
        <v>24</v>
      </c>
      <c r="K862" s="2" t="s">
        <v>25</v>
      </c>
      <c r="L862" s="2" t="s">
        <v>96</v>
      </c>
      <c r="M862" s="4" t="str">
        <f t="shared" si="26"/>
        <v>Involuntary</v>
      </c>
      <c r="N862" s="23" t="s">
        <v>26</v>
      </c>
    </row>
    <row r="863" spans="1:14" x14ac:dyDescent="0.25">
      <c r="A863" s="22">
        <v>4711</v>
      </c>
      <c r="B863" s="3">
        <v>35055</v>
      </c>
      <c r="C863" s="3">
        <v>43837</v>
      </c>
      <c r="D863" s="2">
        <f t="shared" si="27"/>
        <v>25</v>
      </c>
      <c r="E863" s="4" t="str" cm="1">
        <f t="array" ref="E863">_xlfn.IFS(
D863&lt;=5,"Newcomer",
D863&lt;=10,"Proficient",
D863&gt;10,"Expert"
)</f>
        <v>Expert</v>
      </c>
      <c r="F863" s="2" t="s">
        <v>14</v>
      </c>
      <c r="G863" s="5" t="s">
        <v>67</v>
      </c>
      <c r="H863" s="5" t="s">
        <v>113</v>
      </c>
      <c r="I863" s="2">
        <v>42</v>
      </c>
      <c r="J863" s="2" t="s">
        <v>24</v>
      </c>
      <c r="K863" s="2" t="s">
        <v>25</v>
      </c>
      <c r="L863" s="2" t="s">
        <v>50</v>
      </c>
      <c r="M863" s="4" t="str">
        <f t="shared" si="26"/>
        <v>Voluntary</v>
      </c>
      <c r="N863" s="23" t="s">
        <v>26</v>
      </c>
    </row>
    <row r="864" spans="1:14" x14ac:dyDescent="0.25">
      <c r="A864" s="22">
        <v>4717</v>
      </c>
      <c r="B864" s="3">
        <v>37396</v>
      </c>
      <c r="C864" s="3">
        <v>43915</v>
      </c>
      <c r="D864" s="2">
        <f t="shared" si="27"/>
        <v>18</v>
      </c>
      <c r="E864" s="4" t="str" cm="1">
        <f t="array" ref="E864">_xlfn.IFS(
D864&lt;=5,"Newcomer",
D864&lt;=10,"Proficient",
D864&gt;10,"Expert"
)</f>
        <v>Expert</v>
      </c>
      <c r="F864" s="2" t="s">
        <v>41</v>
      </c>
      <c r="G864" s="5" t="s">
        <v>47</v>
      </c>
      <c r="H864" s="5" t="s">
        <v>95</v>
      </c>
      <c r="I864" s="2">
        <v>15</v>
      </c>
      <c r="J864" s="2" t="s">
        <v>17</v>
      </c>
      <c r="K864" s="2" t="s">
        <v>18</v>
      </c>
      <c r="L864" s="2" t="s">
        <v>96</v>
      </c>
      <c r="M864" s="4" t="str">
        <f t="shared" si="26"/>
        <v>Involuntary</v>
      </c>
      <c r="N864" s="23" t="s">
        <v>26</v>
      </c>
    </row>
    <row r="865" spans="1:14" x14ac:dyDescent="0.25">
      <c r="A865" s="22">
        <v>4719</v>
      </c>
      <c r="B865" s="3">
        <v>36478</v>
      </c>
      <c r="C865" s="3">
        <v>43902</v>
      </c>
      <c r="D865" s="2">
        <f t="shared" si="27"/>
        <v>21</v>
      </c>
      <c r="E865" s="4" t="str" cm="1">
        <f t="array" ref="E865">_xlfn.IFS(
D865&lt;=5,"Newcomer",
D865&lt;=10,"Proficient",
D865&gt;10,"Expert"
)</f>
        <v>Expert</v>
      </c>
      <c r="F865" s="2" t="s">
        <v>106</v>
      </c>
      <c r="G865" s="5" t="s">
        <v>42</v>
      </c>
      <c r="H865" s="5" t="s">
        <v>105</v>
      </c>
      <c r="I865" s="2">
        <v>20</v>
      </c>
      <c r="J865" s="2" t="s">
        <v>24</v>
      </c>
      <c r="K865" s="2" t="s">
        <v>25</v>
      </c>
      <c r="L865" s="2" t="s">
        <v>96</v>
      </c>
      <c r="M865" s="4" t="str">
        <f t="shared" si="26"/>
        <v>Involuntary</v>
      </c>
      <c r="N865" s="23" t="s">
        <v>26</v>
      </c>
    </row>
    <row r="866" spans="1:14" x14ac:dyDescent="0.25">
      <c r="A866" s="22">
        <v>4721</v>
      </c>
      <c r="B866" s="3">
        <v>36021</v>
      </c>
      <c r="C866" s="3">
        <v>43991</v>
      </c>
      <c r="D866" s="2">
        <f t="shared" si="27"/>
        <v>22</v>
      </c>
      <c r="E866" s="4" t="str" cm="1">
        <f t="array" ref="E866">_xlfn.IFS(
D866&lt;=5,"Newcomer",
D866&lt;=10,"Proficient",
D866&gt;10,"Expert"
)</f>
        <v>Expert</v>
      </c>
      <c r="F866" s="2" t="s">
        <v>115</v>
      </c>
      <c r="G866" s="5" t="s">
        <v>42</v>
      </c>
      <c r="H866" s="5" t="s">
        <v>105</v>
      </c>
      <c r="I866" s="2">
        <v>17</v>
      </c>
      <c r="J866" s="2" t="s">
        <v>17</v>
      </c>
      <c r="K866" s="2" t="s">
        <v>18</v>
      </c>
      <c r="L866" s="2" t="s">
        <v>96</v>
      </c>
      <c r="M866" s="4" t="str">
        <f t="shared" si="26"/>
        <v>Involuntary</v>
      </c>
      <c r="N866" s="23" t="s">
        <v>26</v>
      </c>
    </row>
    <row r="867" spans="1:14" x14ac:dyDescent="0.25">
      <c r="A867" s="22">
        <v>4723</v>
      </c>
      <c r="B867" s="3">
        <v>42306</v>
      </c>
      <c r="C867" s="3">
        <v>44145</v>
      </c>
      <c r="D867" s="2">
        <f t="shared" si="27"/>
        <v>5</v>
      </c>
      <c r="E867" s="4" t="str" cm="1">
        <f t="array" ref="E867">_xlfn.IFS(
D867&lt;=5,"Newcomer",
D867&lt;=10,"Proficient",
D867&gt;10,"Expert"
)</f>
        <v>Newcomer</v>
      </c>
      <c r="F867" s="2" t="s">
        <v>14</v>
      </c>
      <c r="G867" s="5" t="s">
        <v>35</v>
      </c>
      <c r="H867" s="5" t="s">
        <v>76</v>
      </c>
      <c r="I867" s="2">
        <v>35</v>
      </c>
      <c r="J867" s="2" t="s">
        <v>24</v>
      </c>
      <c r="K867" s="2" t="s">
        <v>25</v>
      </c>
      <c r="L867" s="2" t="s">
        <v>96</v>
      </c>
      <c r="M867" s="4" t="str">
        <f t="shared" si="26"/>
        <v>Involuntary</v>
      </c>
      <c r="N867" s="23" t="s">
        <v>26</v>
      </c>
    </row>
    <row r="868" spans="1:14" x14ac:dyDescent="0.25">
      <c r="A868" s="22">
        <v>4726</v>
      </c>
      <c r="B868" s="3">
        <v>37271</v>
      </c>
      <c r="C868" s="3">
        <v>44081</v>
      </c>
      <c r="D868" s="2">
        <f t="shared" si="27"/>
        <v>18</v>
      </c>
      <c r="E868" s="4" t="str" cm="1">
        <f t="array" ref="E868">_xlfn.IFS(
D868&lt;=5,"Newcomer",
D868&lt;=10,"Proficient",
D868&gt;10,"Expert"
)</f>
        <v>Expert</v>
      </c>
      <c r="F868" s="2" t="s">
        <v>44</v>
      </c>
      <c r="G868" s="5" t="s">
        <v>42</v>
      </c>
      <c r="H868" s="5" t="s">
        <v>105</v>
      </c>
      <c r="I868" s="2">
        <v>18</v>
      </c>
      <c r="J868" s="2" t="s">
        <v>17</v>
      </c>
      <c r="K868" s="2" t="s">
        <v>18</v>
      </c>
      <c r="L868" s="2" t="s">
        <v>96</v>
      </c>
      <c r="M868" s="4" t="str">
        <f t="shared" si="26"/>
        <v>Involuntary</v>
      </c>
      <c r="N868" s="23" t="s">
        <v>26</v>
      </c>
    </row>
    <row r="869" spans="1:14" x14ac:dyDescent="0.25">
      <c r="A869" s="22">
        <v>4727</v>
      </c>
      <c r="B869" s="3">
        <v>33444</v>
      </c>
      <c r="C869" s="3">
        <v>43861</v>
      </c>
      <c r="D869" s="2">
        <f t="shared" si="27"/>
        <v>29</v>
      </c>
      <c r="E869" s="4" t="str" cm="1">
        <f t="array" ref="E869">_xlfn.IFS(
D869&lt;=5,"Newcomer",
D869&lt;=10,"Proficient",
D869&gt;10,"Expert"
)</f>
        <v>Expert</v>
      </c>
      <c r="F869" s="2" t="s">
        <v>14</v>
      </c>
      <c r="G869" s="5" t="s">
        <v>35</v>
      </c>
      <c r="H869" s="5" t="s">
        <v>76</v>
      </c>
      <c r="I869" s="2">
        <v>35</v>
      </c>
      <c r="J869" s="2" t="s">
        <v>17</v>
      </c>
      <c r="K869" s="2" t="s">
        <v>18</v>
      </c>
      <c r="L869" s="2" t="s">
        <v>96</v>
      </c>
      <c r="M869" s="4" t="str">
        <f t="shared" si="26"/>
        <v>Involuntary</v>
      </c>
      <c r="N869" s="23" t="s">
        <v>26</v>
      </c>
    </row>
    <row r="870" spans="1:14" x14ac:dyDescent="0.25">
      <c r="A870" s="22">
        <v>4731</v>
      </c>
      <c r="B870" s="3">
        <v>38701</v>
      </c>
      <c r="C870" s="3">
        <v>44035</v>
      </c>
      <c r="D870" s="2">
        <f t="shared" si="27"/>
        <v>15</v>
      </c>
      <c r="E870" s="4" t="str" cm="1">
        <f t="array" ref="E870">_xlfn.IFS(
D870&lt;=5,"Newcomer",
D870&lt;=10,"Proficient",
D870&gt;10,"Expert"
)</f>
        <v>Expert</v>
      </c>
      <c r="F870" s="2" t="s">
        <v>107</v>
      </c>
      <c r="G870" s="5" t="s">
        <v>47</v>
      </c>
      <c r="H870" s="5" t="s">
        <v>95</v>
      </c>
      <c r="I870" s="2">
        <v>11</v>
      </c>
      <c r="J870" s="2" t="s">
        <v>24</v>
      </c>
      <c r="K870" s="2" t="s">
        <v>25</v>
      </c>
      <c r="L870" s="2" t="s">
        <v>96</v>
      </c>
      <c r="M870" s="4" t="str">
        <f t="shared" si="26"/>
        <v>Involuntary</v>
      </c>
      <c r="N870" s="23" t="s">
        <v>26</v>
      </c>
    </row>
    <row r="871" spans="1:14" x14ac:dyDescent="0.25">
      <c r="A871" s="22">
        <v>4733</v>
      </c>
      <c r="B871" s="3">
        <v>42239</v>
      </c>
      <c r="C871" s="3">
        <v>43915</v>
      </c>
      <c r="D871" s="2">
        <f t="shared" si="27"/>
        <v>5</v>
      </c>
      <c r="E871" s="4" t="str" cm="1">
        <f t="array" ref="E871">_xlfn.IFS(
D871&lt;=5,"Newcomer",
D871&lt;=10,"Proficient",
D871&gt;10,"Expert"
)</f>
        <v>Newcomer</v>
      </c>
      <c r="F871" s="2" t="s">
        <v>81</v>
      </c>
      <c r="G871" s="5" t="s">
        <v>42</v>
      </c>
      <c r="H871" s="5" t="s">
        <v>105</v>
      </c>
      <c r="I871" s="2">
        <v>5</v>
      </c>
      <c r="J871" s="2" t="s">
        <v>24</v>
      </c>
      <c r="K871" s="2" t="s">
        <v>25</v>
      </c>
      <c r="L871" s="2" t="s">
        <v>96</v>
      </c>
      <c r="M871" s="4" t="str">
        <f t="shared" si="26"/>
        <v>Involuntary</v>
      </c>
      <c r="N871" s="23" t="s">
        <v>26</v>
      </c>
    </row>
    <row r="872" spans="1:14" x14ac:dyDescent="0.25">
      <c r="A872" s="22">
        <v>4735</v>
      </c>
      <c r="B872" s="3">
        <v>41325</v>
      </c>
      <c r="C872" s="3">
        <v>44183</v>
      </c>
      <c r="D872" s="2">
        <f t="shared" si="27"/>
        <v>7</v>
      </c>
      <c r="E872" s="4" t="str" cm="1">
        <f t="array" ref="E872">_xlfn.IFS(
D872&lt;=5,"Newcomer",
D872&lt;=10,"Proficient",
D872&gt;10,"Expert"
)</f>
        <v>Proficient</v>
      </c>
      <c r="F872" s="2" t="s">
        <v>30</v>
      </c>
      <c r="G872" s="5" t="s">
        <v>42</v>
      </c>
      <c r="H872" s="5" t="s">
        <v>105</v>
      </c>
      <c r="I872" s="2">
        <v>37</v>
      </c>
      <c r="J872" s="2" t="s">
        <v>17</v>
      </c>
      <c r="K872" s="2" t="s">
        <v>18</v>
      </c>
      <c r="L872" s="2" t="s">
        <v>96</v>
      </c>
      <c r="M872" s="4" t="str">
        <f t="shared" si="26"/>
        <v>Involuntary</v>
      </c>
      <c r="N872" s="23" t="s">
        <v>26</v>
      </c>
    </row>
    <row r="873" spans="1:14" x14ac:dyDescent="0.25">
      <c r="A873" s="22">
        <v>4738</v>
      </c>
      <c r="B873" s="3">
        <v>33474</v>
      </c>
      <c r="C873" s="3">
        <v>43862</v>
      </c>
      <c r="D873" s="2">
        <f t="shared" si="27"/>
        <v>29</v>
      </c>
      <c r="E873" s="4" t="str" cm="1">
        <f t="array" ref="E873">_xlfn.IFS(
D873&lt;=5,"Newcomer",
D873&lt;=10,"Proficient",
D873&gt;10,"Expert"
)</f>
        <v>Expert</v>
      </c>
      <c r="F873" s="2" t="s">
        <v>53</v>
      </c>
      <c r="G873" s="5" t="s">
        <v>42</v>
      </c>
      <c r="H873" s="5" t="s">
        <v>105</v>
      </c>
      <c r="I873" s="2">
        <v>31</v>
      </c>
      <c r="J873" s="2" t="s">
        <v>17</v>
      </c>
      <c r="K873" s="2" t="s">
        <v>18</v>
      </c>
      <c r="L873" s="2" t="s">
        <v>96</v>
      </c>
      <c r="M873" s="4" t="str">
        <f t="shared" si="26"/>
        <v>Involuntary</v>
      </c>
      <c r="N873" s="23" t="s">
        <v>26</v>
      </c>
    </row>
    <row r="874" spans="1:14" x14ac:dyDescent="0.25">
      <c r="A874" s="22">
        <v>4741</v>
      </c>
      <c r="B874" s="3">
        <v>39198</v>
      </c>
      <c r="C874" s="3">
        <v>44020</v>
      </c>
      <c r="D874" s="2">
        <f t="shared" si="27"/>
        <v>13</v>
      </c>
      <c r="E874" s="4" t="str" cm="1">
        <f t="array" ref="E874">_xlfn.IFS(
D874&lt;=5,"Newcomer",
D874&lt;=10,"Proficient",
D874&gt;10,"Expert"
)</f>
        <v>Expert</v>
      </c>
      <c r="F874" s="2" t="s">
        <v>86</v>
      </c>
      <c r="G874" s="5" t="s">
        <v>42</v>
      </c>
      <c r="H874" s="5" t="s">
        <v>105</v>
      </c>
      <c r="I874" s="2">
        <v>8</v>
      </c>
      <c r="J874" s="2" t="s">
        <v>24</v>
      </c>
      <c r="K874" s="2" t="s">
        <v>25</v>
      </c>
      <c r="L874" s="2" t="s">
        <v>50</v>
      </c>
      <c r="M874" s="4" t="str">
        <f t="shared" si="26"/>
        <v>Voluntary</v>
      </c>
      <c r="N874" s="23" t="s">
        <v>26</v>
      </c>
    </row>
    <row r="875" spans="1:14" x14ac:dyDescent="0.25">
      <c r="A875" s="22">
        <v>4742</v>
      </c>
      <c r="B875" s="3">
        <v>40743</v>
      </c>
      <c r="C875" s="3">
        <v>44022</v>
      </c>
      <c r="D875" s="2">
        <f t="shared" si="27"/>
        <v>9</v>
      </c>
      <c r="E875" s="4" t="str" cm="1">
        <f t="array" ref="E875">_xlfn.IFS(
D875&lt;=5,"Newcomer",
D875&lt;=10,"Proficient",
D875&gt;10,"Expert"
)</f>
        <v>Proficient</v>
      </c>
      <c r="F875" s="2" t="s">
        <v>27</v>
      </c>
      <c r="G875" s="5" t="s">
        <v>47</v>
      </c>
      <c r="H875" s="5" t="s">
        <v>95</v>
      </c>
      <c r="I875" s="2">
        <v>16</v>
      </c>
      <c r="J875" s="2" t="s">
        <v>24</v>
      </c>
      <c r="K875" s="2" t="s">
        <v>25</v>
      </c>
      <c r="L875" s="2" t="s">
        <v>50</v>
      </c>
      <c r="M875" s="4" t="str">
        <f t="shared" si="26"/>
        <v>Voluntary</v>
      </c>
      <c r="N875" s="23" t="s">
        <v>26</v>
      </c>
    </row>
    <row r="876" spans="1:14" x14ac:dyDescent="0.25">
      <c r="A876" s="22">
        <v>4743</v>
      </c>
      <c r="B876" s="3">
        <v>38996</v>
      </c>
      <c r="C876" s="3">
        <v>44055</v>
      </c>
      <c r="D876" s="2">
        <f t="shared" si="27"/>
        <v>14</v>
      </c>
      <c r="E876" s="4" t="str" cm="1">
        <f t="array" ref="E876">_xlfn.IFS(
D876&lt;=5,"Newcomer",
D876&lt;=10,"Proficient",
D876&gt;10,"Expert"
)</f>
        <v>Expert</v>
      </c>
      <c r="F876" s="2" t="s">
        <v>14</v>
      </c>
      <c r="G876" s="5" t="s">
        <v>35</v>
      </c>
      <c r="H876" s="5" t="s">
        <v>76</v>
      </c>
      <c r="I876" s="2">
        <v>35</v>
      </c>
      <c r="J876" s="2" t="s">
        <v>17</v>
      </c>
      <c r="K876" s="2" t="s">
        <v>18</v>
      </c>
      <c r="L876" s="2" t="s">
        <v>96</v>
      </c>
      <c r="M876" s="4" t="str">
        <f t="shared" si="26"/>
        <v>Involuntary</v>
      </c>
      <c r="N876" s="23" t="s">
        <v>26</v>
      </c>
    </row>
    <row r="877" spans="1:14" x14ac:dyDescent="0.25">
      <c r="A877" s="22">
        <v>4747</v>
      </c>
      <c r="B877" s="3">
        <v>34615</v>
      </c>
      <c r="C877" s="3">
        <v>44028</v>
      </c>
      <c r="D877" s="2">
        <f t="shared" si="27"/>
        <v>26</v>
      </c>
      <c r="E877" s="4" t="str" cm="1">
        <f t="array" ref="E877">_xlfn.IFS(
D877&lt;=5,"Newcomer",
D877&lt;=10,"Proficient",
D877&gt;10,"Expert"
)</f>
        <v>Expert</v>
      </c>
      <c r="F877" s="2" t="s">
        <v>73</v>
      </c>
      <c r="G877" s="5" t="s">
        <v>42</v>
      </c>
      <c r="H877" s="5" t="s">
        <v>105</v>
      </c>
      <c r="I877" s="2">
        <v>32</v>
      </c>
      <c r="J877" s="2" t="s">
        <v>24</v>
      </c>
      <c r="K877" s="2" t="s">
        <v>25</v>
      </c>
      <c r="L877" s="2" t="s">
        <v>96</v>
      </c>
      <c r="M877" s="4" t="str">
        <f t="shared" si="26"/>
        <v>Involuntary</v>
      </c>
      <c r="N877" s="23" t="s">
        <v>26</v>
      </c>
    </row>
    <row r="878" spans="1:14" x14ac:dyDescent="0.25">
      <c r="A878" s="22">
        <v>4748</v>
      </c>
      <c r="B878" s="3">
        <v>35841</v>
      </c>
      <c r="C878" s="3">
        <v>43915</v>
      </c>
      <c r="D878" s="2">
        <f t="shared" si="27"/>
        <v>22</v>
      </c>
      <c r="E878" s="4" t="str" cm="1">
        <f t="array" ref="E878">_xlfn.IFS(
D878&lt;=5,"Newcomer",
D878&lt;=10,"Proficient",
D878&gt;10,"Expert"
)</f>
        <v>Expert</v>
      </c>
      <c r="F878" s="2" t="s">
        <v>106</v>
      </c>
      <c r="G878" s="5" t="s">
        <v>42</v>
      </c>
      <c r="H878" s="5" t="s">
        <v>105</v>
      </c>
      <c r="I878" s="2">
        <v>20</v>
      </c>
      <c r="J878" s="2" t="s">
        <v>17</v>
      </c>
      <c r="K878" s="2" t="s">
        <v>18</v>
      </c>
      <c r="L878" s="2" t="s">
        <v>96</v>
      </c>
      <c r="M878" s="4" t="str">
        <f t="shared" si="26"/>
        <v>Involuntary</v>
      </c>
      <c r="N878" s="23" t="s">
        <v>26</v>
      </c>
    </row>
    <row r="879" spans="1:14" x14ac:dyDescent="0.25">
      <c r="A879" s="22">
        <v>4750</v>
      </c>
      <c r="B879" s="3">
        <v>41601</v>
      </c>
      <c r="C879" s="3">
        <v>44004</v>
      </c>
      <c r="D879" s="2">
        <f t="shared" si="27"/>
        <v>7</v>
      </c>
      <c r="E879" s="4" t="str" cm="1">
        <f t="array" ref="E879">_xlfn.IFS(
D879&lt;=5,"Newcomer",
D879&lt;=10,"Proficient",
D879&gt;10,"Expert"
)</f>
        <v>Proficient</v>
      </c>
      <c r="F879" s="2" t="s">
        <v>14</v>
      </c>
      <c r="G879" s="5" t="s">
        <v>35</v>
      </c>
      <c r="H879" s="5" t="s">
        <v>76</v>
      </c>
      <c r="I879" s="2">
        <v>35</v>
      </c>
      <c r="J879" s="2" t="s">
        <v>24</v>
      </c>
      <c r="K879" s="2" t="s">
        <v>25</v>
      </c>
      <c r="L879" s="2" t="s">
        <v>96</v>
      </c>
      <c r="M879" s="4" t="str">
        <f t="shared" si="26"/>
        <v>Involuntary</v>
      </c>
      <c r="N879" s="23" t="s">
        <v>26</v>
      </c>
    </row>
    <row r="880" spans="1:14" x14ac:dyDescent="0.25">
      <c r="A880" s="22">
        <v>4752</v>
      </c>
      <c r="B880" s="3">
        <v>36024</v>
      </c>
      <c r="C880" s="3">
        <v>43987</v>
      </c>
      <c r="D880" s="2">
        <f t="shared" si="27"/>
        <v>22</v>
      </c>
      <c r="E880" s="4" t="str" cm="1">
        <f t="array" ref="E880">_xlfn.IFS(
D880&lt;=5,"Newcomer",
D880&lt;=10,"Proficient",
D880&gt;10,"Expert"
)</f>
        <v>Expert</v>
      </c>
      <c r="F880" s="2" t="s">
        <v>14</v>
      </c>
      <c r="G880" s="5" t="s">
        <v>35</v>
      </c>
      <c r="H880" s="5" t="s">
        <v>76</v>
      </c>
      <c r="I880" s="2">
        <v>35</v>
      </c>
      <c r="J880" s="2" t="s">
        <v>17</v>
      </c>
      <c r="K880" s="2" t="s">
        <v>18</v>
      </c>
      <c r="L880" s="2" t="s">
        <v>96</v>
      </c>
      <c r="M880" s="4" t="str">
        <f t="shared" si="26"/>
        <v>Involuntary</v>
      </c>
      <c r="N880" s="23" t="s">
        <v>26</v>
      </c>
    </row>
    <row r="881" spans="1:14" x14ac:dyDescent="0.25">
      <c r="A881" s="22">
        <v>4755</v>
      </c>
      <c r="B881" s="3">
        <v>33099</v>
      </c>
      <c r="C881" s="3">
        <v>44000</v>
      </c>
      <c r="D881" s="2">
        <f t="shared" si="27"/>
        <v>30</v>
      </c>
      <c r="E881" s="4" t="str" cm="1">
        <f t="array" ref="E881">_xlfn.IFS(
D881&lt;=5,"Newcomer",
D881&lt;=10,"Proficient",
D881&gt;10,"Expert"
)</f>
        <v>Expert</v>
      </c>
      <c r="F881" s="2" t="s">
        <v>115</v>
      </c>
      <c r="G881" s="5" t="s">
        <v>42</v>
      </c>
      <c r="H881" s="5" t="s">
        <v>105</v>
      </c>
      <c r="I881" s="2">
        <v>17</v>
      </c>
      <c r="J881" s="2" t="s">
        <v>17</v>
      </c>
      <c r="K881" s="2" t="s">
        <v>18</v>
      </c>
      <c r="L881" s="2" t="s">
        <v>96</v>
      </c>
      <c r="M881" s="4" t="str">
        <f t="shared" si="26"/>
        <v>Involuntary</v>
      </c>
      <c r="N881" s="23" t="s">
        <v>26</v>
      </c>
    </row>
    <row r="882" spans="1:14" x14ac:dyDescent="0.25">
      <c r="A882" s="22">
        <v>4756</v>
      </c>
      <c r="B882" s="3">
        <v>34655</v>
      </c>
      <c r="C882" s="3">
        <v>43882</v>
      </c>
      <c r="D882" s="2">
        <f t="shared" si="27"/>
        <v>26</v>
      </c>
      <c r="E882" s="4" t="str" cm="1">
        <f t="array" ref="E882">_xlfn.IFS(
D882&lt;=5,"Newcomer",
D882&lt;=10,"Proficient",
D882&gt;10,"Expert"
)</f>
        <v>Expert</v>
      </c>
      <c r="F882" s="2" t="s">
        <v>49</v>
      </c>
      <c r="G882" s="5" t="s">
        <v>47</v>
      </c>
      <c r="H882" s="5" t="s">
        <v>95</v>
      </c>
      <c r="I882" s="2">
        <v>12</v>
      </c>
      <c r="J882" s="2" t="s">
        <v>24</v>
      </c>
      <c r="K882" s="2" t="s">
        <v>25</v>
      </c>
      <c r="L882" s="2" t="s">
        <v>96</v>
      </c>
      <c r="M882" s="4" t="str">
        <f t="shared" si="26"/>
        <v>Involuntary</v>
      </c>
      <c r="N882" s="23" t="s">
        <v>26</v>
      </c>
    </row>
    <row r="883" spans="1:14" x14ac:dyDescent="0.25">
      <c r="A883" s="22">
        <v>4757</v>
      </c>
      <c r="B883" s="3">
        <v>41913</v>
      </c>
      <c r="C883" s="3">
        <v>44042</v>
      </c>
      <c r="D883" s="2">
        <f t="shared" si="27"/>
        <v>6</v>
      </c>
      <c r="E883" s="4" t="str" cm="1">
        <f t="array" ref="E883">_xlfn.IFS(
D883&lt;=5,"Newcomer",
D883&lt;=10,"Proficient",
D883&gt;10,"Expert"
)</f>
        <v>Proficient</v>
      </c>
      <c r="F883" s="2" t="s">
        <v>14</v>
      </c>
      <c r="G883" s="5" t="s">
        <v>35</v>
      </c>
      <c r="H883" s="5" t="s">
        <v>76</v>
      </c>
      <c r="I883" s="2">
        <v>35</v>
      </c>
      <c r="J883" s="2" t="s">
        <v>17</v>
      </c>
      <c r="K883" s="2" t="s">
        <v>18</v>
      </c>
      <c r="L883" s="2" t="s">
        <v>96</v>
      </c>
      <c r="M883" s="4" t="str">
        <f t="shared" si="26"/>
        <v>Involuntary</v>
      </c>
      <c r="N883" s="23" t="s">
        <v>26</v>
      </c>
    </row>
    <row r="884" spans="1:14" x14ac:dyDescent="0.25">
      <c r="A884" s="22">
        <v>4760</v>
      </c>
      <c r="B884" s="3">
        <v>40207</v>
      </c>
      <c r="C884" s="3">
        <v>43941</v>
      </c>
      <c r="D884" s="2">
        <f t="shared" si="27"/>
        <v>10</v>
      </c>
      <c r="E884" s="4" t="str" cm="1">
        <f t="array" ref="E884">_xlfn.IFS(
D884&lt;=5,"Newcomer",
D884&lt;=10,"Proficient",
D884&gt;10,"Expert"
)</f>
        <v>Proficient</v>
      </c>
      <c r="F884" s="2" t="s">
        <v>79</v>
      </c>
      <c r="G884" s="5" t="s">
        <v>62</v>
      </c>
      <c r="H884" s="5" t="s">
        <v>63</v>
      </c>
      <c r="I884" s="2">
        <v>25</v>
      </c>
      <c r="J884" s="2" t="s">
        <v>24</v>
      </c>
      <c r="K884" s="2" t="s">
        <v>25</v>
      </c>
      <c r="L884" s="2" t="s">
        <v>50</v>
      </c>
      <c r="M884" s="4" t="str">
        <f t="shared" si="26"/>
        <v>Voluntary</v>
      </c>
      <c r="N884" s="23" t="s">
        <v>26</v>
      </c>
    </row>
    <row r="885" spans="1:14" x14ac:dyDescent="0.25">
      <c r="A885" s="22">
        <v>4762</v>
      </c>
      <c r="B885" s="3">
        <v>37580</v>
      </c>
      <c r="C885" s="3">
        <v>43942</v>
      </c>
      <c r="D885" s="2">
        <f t="shared" si="27"/>
        <v>18</v>
      </c>
      <c r="E885" s="4" t="str" cm="1">
        <f t="array" ref="E885">_xlfn.IFS(
D885&lt;=5,"Newcomer",
D885&lt;=10,"Proficient",
D885&gt;10,"Expert"
)</f>
        <v>Expert</v>
      </c>
      <c r="F885" s="2" t="s">
        <v>70</v>
      </c>
      <c r="G885" s="5" t="s">
        <v>42</v>
      </c>
      <c r="H885" s="5" t="s">
        <v>105</v>
      </c>
      <c r="I885" s="2">
        <v>6</v>
      </c>
      <c r="J885" s="2" t="s">
        <v>17</v>
      </c>
      <c r="K885" s="2" t="s">
        <v>18</v>
      </c>
      <c r="L885" s="2" t="s">
        <v>96</v>
      </c>
      <c r="M885" s="4" t="str">
        <f t="shared" si="26"/>
        <v>Involuntary</v>
      </c>
      <c r="N885" s="23" t="s">
        <v>26</v>
      </c>
    </row>
    <row r="886" spans="1:14" x14ac:dyDescent="0.25">
      <c r="A886" s="22">
        <v>4763</v>
      </c>
      <c r="B886" s="3">
        <v>34788</v>
      </c>
      <c r="C886" s="3">
        <v>44005</v>
      </c>
      <c r="D886" s="2">
        <f t="shared" si="27"/>
        <v>25</v>
      </c>
      <c r="E886" s="4" t="str" cm="1">
        <f t="array" ref="E886">_xlfn.IFS(
D886&lt;=5,"Newcomer",
D886&lt;=10,"Proficient",
D886&gt;10,"Expert"
)</f>
        <v>Expert</v>
      </c>
      <c r="F886" s="2" t="s">
        <v>30</v>
      </c>
      <c r="G886" s="5" t="s">
        <v>42</v>
      </c>
      <c r="H886" s="5" t="s">
        <v>105</v>
      </c>
      <c r="I886" s="2">
        <v>37</v>
      </c>
      <c r="J886" s="2" t="s">
        <v>17</v>
      </c>
      <c r="K886" s="2" t="s">
        <v>18</v>
      </c>
      <c r="L886" s="2" t="s">
        <v>96</v>
      </c>
      <c r="M886" s="4" t="str">
        <f t="shared" si="26"/>
        <v>Involuntary</v>
      </c>
      <c r="N886" s="23" t="s">
        <v>26</v>
      </c>
    </row>
    <row r="887" spans="1:14" x14ac:dyDescent="0.25">
      <c r="A887" s="22">
        <v>4765</v>
      </c>
      <c r="B887" s="3">
        <v>32925</v>
      </c>
      <c r="C887" s="3">
        <v>43983</v>
      </c>
      <c r="D887" s="2">
        <f t="shared" si="27"/>
        <v>30</v>
      </c>
      <c r="E887" s="4" t="str" cm="1">
        <f t="array" ref="E887">_xlfn.IFS(
D887&lt;=5,"Newcomer",
D887&lt;=10,"Proficient",
D887&gt;10,"Expert"
)</f>
        <v>Expert</v>
      </c>
      <c r="F887" s="2" t="s">
        <v>101</v>
      </c>
      <c r="G887" s="5" t="s">
        <v>42</v>
      </c>
      <c r="H887" s="5" t="s">
        <v>105</v>
      </c>
      <c r="I887" s="2">
        <v>38</v>
      </c>
      <c r="J887" s="2" t="s">
        <v>17</v>
      </c>
      <c r="K887" s="2" t="s">
        <v>18</v>
      </c>
      <c r="L887" s="2" t="s">
        <v>96</v>
      </c>
      <c r="M887" s="4" t="str">
        <f t="shared" si="26"/>
        <v>Involuntary</v>
      </c>
      <c r="N887" s="23" t="s">
        <v>26</v>
      </c>
    </row>
    <row r="888" spans="1:14" x14ac:dyDescent="0.25">
      <c r="A888" s="22">
        <v>4767</v>
      </c>
      <c r="B888" s="3">
        <v>37346</v>
      </c>
      <c r="C888" s="3">
        <v>44032</v>
      </c>
      <c r="D888" s="2">
        <f t="shared" si="27"/>
        <v>18</v>
      </c>
      <c r="E888" s="4" t="str" cm="1">
        <f t="array" ref="E888">_xlfn.IFS(
D888&lt;=5,"Newcomer",
D888&lt;=10,"Proficient",
D888&gt;10,"Expert"
)</f>
        <v>Expert</v>
      </c>
      <c r="F888" s="2" t="s">
        <v>107</v>
      </c>
      <c r="G888" s="5" t="s">
        <v>35</v>
      </c>
      <c r="H888" s="5" t="s">
        <v>76</v>
      </c>
      <c r="I888" s="2">
        <v>11</v>
      </c>
      <c r="J888" s="2" t="s">
        <v>24</v>
      </c>
      <c r="K888" s="2" t="s">
        <v>25</v>
      </c>
      <c r="L888" s="2" t="s">
        <v>96</v>
      </c>
      <c r="M888" s="4" t="str">
        <f t="shared" si="26"/>
        <v>Involuntary</v>
      </c>
      <c r="N888" s="23" t="s">
        <v>26</v>
      </c>
    </row>
    <row r="889" spans="1:14" x14ac:dyDescent="0.25">
      <c r="A889" s="22">
        <v>4769</v>
      </c>
      <c r="B889" s="3">
        <v>42204</v>
      </c>
      <c r="C889" s="3">
        <v>44163</v>
      </c>
      <c r="D889" s="2">
        <f t="shared" si="27"/>
        <v>5</v>
      </c>
      <c r="E889" s="4" t="str" cm="1">
        <f t="array" ref="E889">_xlfn.IFS(
D889&lt;=5,"Newcomer",
D889&lt;=10,"Proficient",
D889&gt;10,"Expert"
)</f>
        <v>Newcomer</v>
      </c>
      <c r="F889" s="2" t="s">
        <v>14</v>
      </c>
      <c r="G889" s="5" t="s">
        <v>35</v>
      </c>
      <c r="H889" s="5" t="s">
        <v>76</v>
      </c>
      <c r="I889" s="2">
        <v>35</v>
      </c>
      <c r="J889" s="2" t="s">
        <v>24</v>
      </c>
      <c r="K889" s="2" t="s">
        <v>25</v>
      </c>
      <c r="L889" s="2" t="s">
        <v>96</v>
      </c>
      <c r="M889" s="4" t="str">
        <f t="shared" si="26"/>
        <v>Involuntary</v>
      </c>
      <c r="N889" s="23" t="s">
        <v>26</v>
      </c>
    </row>
    <row r="890" spans="1:14" x14ac:dyDescent="0.25">
      <c r="A890" s="22">
        <v>4770</v>
      </c>
      <c r="B890" s="3">
        <v>38133</v>
      </c>
      <c r="C890" s="3">
        <v>44104</v>
      </c>
      <c r="D890" s="2">
        <f t="shared" si="27"/>
        <v>16</v>
      </c>
      <c r="E890" s="4" t="str" cm="1">
        <f t="array" ref="E890">_xlfn.IFS(
D890&lt;=5,"Newcomer",
D890&lt;=10,"Proficient",
D890&gt;10,"Expert"
)</f>
        <v>Expert</v>
      </c>
      <c r="F890" s="2" t="s">
        <v>30</v>
      </c>
      <c r="G890" s="5" t="s">
        <v>42</v>
      </c>
      <c r="H890" s="5" t="s">
        <v>105</v>
      </c>
      <c r="I890" s="2">
        <v>37</v>
      </c>
      <c r="J890" s="2" t="s">
        <v>17</v>
      </c>
      <c r="K890" s="2" t="s">
        <v>18</v>
      </c>
      <c r="L890" s="2" t="s">
        <v>96</v>
      </c>
      <c r="M890" s="4" t="str">
        <f t="shared" si="26"/>
        <v>Involuntary</v>
      </c>
      <c r="N890" s="23" t="s">
        <v>26</v>
      </c>
    </row>
    <row r="891" spans="1:14" x14ac:dyDescent="0.25">
      <c r="A891" s="22">
        <v>4771</v>
      </c>
      <c r="B891" s="3">
        <v>36867</v>
      </c>
      <c r="C891" s="3">
        <v>44144</v>
      </c>
      <c r="D891" s="2">
        <f t="shared" si="27"/>
        <v>20</v>
      </c>
      <c r="E891" s="4" t="str" cm="1">
        <f t="array" ref="E891">_xlfn.IFS(
D891&lt;=5,"Newcomer",
D891&lt;=10,"Proficient",
D891&gt;10,"Expert"
)</f>
        <v>Expert</v>
      </c>
      <c r="F891" s="2" t="s">
        <v>30</v>
      </c>
      <c r="G891" s="5" t="s">
        <v>42</v>
      </c>
      <c r="H891" s="5" t="s">
        <v>105</v>
      </c>
      <c r="I891" s="2">
        <v>37</v>
      </c>
      <c r="J891" s="2" t="s">
        <v>24</v>
      </c>
      <c r="K891" s="2" t="s">
        <v>25</v>
      </c>
      <c r="L891" s="2" t="s">
        <v>96</v>
      </c>
      <c r="M891" s="4" t="str">
        <f t="shared" si="26"/>
        <v>Involuntary</v>
      </c>
      <c r="N891" s="23" t="s">
        <v>26</v>
      </c>
    </row>
    <row r="892" spans="1:14" x14ac:dyDescent="0.25">
      <c r="A892" s="22">
        <v>4772</v>
      </c>
      <c r="B892" s="3">
        <v>39651</v>
      </c>
      <c r="C892" s="3">
        <v>44037</v>
      </c>
      <c r="D892" s="2">
        <f t="shared" si="27"/>
        <v>12</v>
      </c>
      <c r="E892" s="4" t="str" cm="1">
        <f t="array" ref="E892">_xlfn.IFS(
D892&lt;=5,"Newcomer",
D892&lt;=10,"Proficient",
D892&gt;10,"Expert"
)</f>
        <v>Expert</v>
      </c>
      <c r="F892" s="2" t="s">
        <v>30</v>
      </c>
      <c r="G892" s="5" t="s">
        <v>42</v>
      </c>
      <c r="H892" s="5" t="s">
        <v>105</v>
      </c>
      <c r="I892" s="2">
        <v>37</v>
      </c>
      <c r="J892" s="2" t="s">
        <v>24</v>
      </c>
      <c r="K892" s="2" t="s">
        <v>25</v>
      </c>
      <c r="L892" s="2" t="s">
        <v>96</v>
      </c>
      <c r="M892" s="4" t="str">
        <f t="shared" si="26"/>
        <v>Involuntary</v>
      </c>
      <c r="N892" s="23" t="s">
        <v>26</v>
      </c>
    </row>
    <row r="893" spans="1:14" x14ac:dyDescent="0.25">
      <c r="A893" s="22">
        <v>4775</v>
      </c>
      <c r="B893" s="3">
        <v>35227</v>
      </c>
      <c r="C893" s="3">
        <v>44044</v>
      </c>
      <c r="D893" s="2">
        <f t="shared" si="27"/>
        <v>24</v>
      </c>
      <c r="E893" s="4" t="str" cm="1">
        <f t="array" ref="E893">_xlfn.IFS(
D893&lt;=5,"Newcomer",
D893&lt;=10,"Proficient",
D893&gt;10,"Expert"
)</f>
        <v>Expert</v>
      </c>
      <c r="F893" s="2" t="s">
        <v>14</v>
      </c>
      <c r="G893" s="5" t="s">
        <v>35</v>
      </c>
      <c r="H893" s="5" t="s">
        <v>76</v>
      </c>
      <c r="I893" s="2">
        <v>35</v>
      </c>
      <c r="J893" s="2" t="s">
        <v>24</v>
      </c>
      <c r="K893" s="2" t="s">
        <v>25</v>
      </c>
      <c r="L893" s="2" t="s">
        <v>96</v>
      </c>
      <c r="M893" s="4" t="str">
        <f t="shared" si="26"/>
        <v>Involuntary</v>
      </c>
      <c r="N893" s="23" t="s">
        <v>26</v>
      </c>
    </row>
    <row r="894" spans="1:14" x14ac:dyDescent="0.25">
      <c r="A894" s="22">
        <v>4778</v>
      </c>
      <c r="B894" s="3">
        <v>37221</v>
      </c>
      <c r="C894" s="3">
        <v>44091</v>
      </c>
      <c r="D894" s="2">
        <f t="shared" si="27"/>
        <v>19</v>
      </c>
      <c r="E894" s="4" t="str" cm="1">
        <f t="array" ref="E894">_xlfn.IFS(
D894&lt;=5,"Newcomer",
D894&lt;=10,"Proficient",
D894&gt;10,"Expert"
)</f>
        <v>Expert</v>
      </c>
      <c r="F894" s="2" t="s">
        <v>90</v>
      </c>
      <c r="G894" s="5" t="s">
        <v>42</v>
      </c>
      <c r="H894" s="5" t="s">
        <v>105</v>
      </c>
      <c r="I894" s="2">
        <v>26</v>
      </c>
      <c r="J894" s="2" t="s">
        <v>24</v>
      </c>
      <c r="K894" s="2" t="s">
        <v>25</v>
      </c>
      <c r="L894" s="2" t="s">
        <v>96</v>
      </c>
      <c r="M894" s="4" t="str">
        <f t="shared" si="26"/>
        <v>Involuntary</v>
      </c>
      <c r="N894" s="23" t="s">
        <v>26</v>
      </c>
    </row>
    <row r="895" spans="1:14" x14ac:dyDescent="0.25">
      <c r="A895" s="22">
        <v>4779</v>
      </c>
      <c r="B895" s="3">
        <v>41214</v>
      </c>
      <c r="C895" s="3">
        <v>44156</v>
      </c>
      <c r="D895" s="2">
        <f t="shared" si="27"/>
        <v>8</v>
      </c>
      <c r="E895" s="4" t="str" cm="1">
        <f t="array" ref="E895">_xlfn.IFS(
D895&lt;=5,"Newcomer",
D895&lt;=10,"Proficient",
D895&gt;10,"Expert"
)</f>
        <v>Proficient</v>
      </c>
      <c r="F895" s="2" t="s">
        <v>69</v>
      </c>
      <c r="G895" s="5" t="s">
        <v>42</v>
      </c>
      <c r="H895" s="5" t="s">
        <v>105</v>
      </c>
      <c r="I895" s="2">
        <v>28</v>
      </c>
      <c r="J895" s="2" t="s">
        <v>17</v>
      </c>
      <c r="K895" s="2" t="s">
        <v>18</v>
      </c>
      <c r="L895" s="2" t="s">
        <v>96</v>
      </c>
      <c r="M895" s="4" t="str">
        <f t="shared" si="26"/>
        <v>Involuntary</v>
      </c>
      <c r="N895" s="23" t="s">
        <v>26</v>
      </c>
    </row>
    <row r="896" spans="1:14" x14ac:dyDescent="0.25">
      <c r="A896" s="22">
        <v>4786</v>
      </c>
      <c r="B896" s="3">
        <v>33429</v>
      </c>
      <c r="C896" s="3">
        <v>44007</v>
      </c>
      <c r="D896" s="2">
        <f t="shared" si="27"/>
        <v>29</v>
      </c>
      <c r="E896" s="4" t="str" cm="1">
        <f t="array" ref="E896">_xlfn.IFS(
D896&lt;=5,"Newcomer",
D896&lt;=10,"Proficient",
D896&gt;10,"Expert"
)</f>
        <v>Expert</v>
      </c>
      <c r="F896" s="2" t="s">
        <v>78</v>
      </c>
      <c r="G896" s="5" t="s">
        <v>47</v>
      </c>
      <c r="H896" s="5" t="s">
        <v>95</v>
      </c>
      <c r="I896" s="2">
        <v>21</v>
      </c>
      <c r="J896" s="2" t="s">
        <v>17</v>
      </c>
      <c r="K896" s="2" t="s">
        <v>18</v>
      </c>
      <c r="L896" s="2" t="s">
        <v>50</v>
      </c>
      <c r="M896" s="4" t="str">
        <f t="shared" si="26"/>
        <v>Voluntary</v>
      </c>
      <c r="N896" s="23" t="s">
        <v>26</v>
      </c>
    </row>
    <row r="897" spans="1:14" x14ac:dyDescent="0.25">
      <c r="A897" s="22">
        <v>4792</v>
      </c>
      <c r="B897" s="3">
        <v>40523</v>
      </c>
      <c r="C897" s="3">
        <v>43979</v>
      </c>
      <c r="D897" s="2">
        <f t="shared" si="27"/>
        <v>10</v>
      </c>
      <c r="E897" s="4" t="str" cm="1">
        <f t="array" ref="E897">_xlfn.IFS(
D897&lt;=5,"Newcomer",
D897&lt;=10,"Proficient",
D897&gt;10,"Expert"
)</f>
        <v>Proficient</v>
      </c>
      <c r="F897" s="2" t="s">
        <v>107</v>
      </c>
      <c r="G897" s="5" t="s">
        <v>35</v>
      </c>
      <c r="H897" s="5" t="s">
        <v>76</v>
      </c>
      <c r="I897" s="2">
        <v>11</v>
      </c>
      <c r="J897" s="2" t="s">
        <v>24</v>
      </c>
      <c r="K897" s="2" t="s">
        <v>25</v>
      </c>
      <c r="L897" s="2" t="s">
        <v>96</v>
      </c>
      <c r="M897" s="4" t="str">
        <f t="shared" si="26"/>
        <v>Involuntary</v>
      </c>
      <c r="N897" s="23" t="s">
        <v>26</v>
      </c>
    </row>
    <row r="898" spans="1:14" x14ac:dyDescent="0.25">
      <c r="A898" s="22">
        <v>4794</v>
      </c>
      <c r="B898" s="3">
        <v>33225</v>
      </c>
      <c r="C898" s="3">
        <v>44125</v>
      </c>
      <c r="D898" s="2">
        <f t="shared" si="27"/>
        <v>30</v>
      </c>
      <c r="E898" s="4" t="str" cm="1">
        <f t="array" ref="E898">_xlfn.IFS(
D898&lt;=5,"Newcomer",
D898&lt;=10,"Proficient",
D898&gt;10,"Expert"
)</f>
        <v>Expert</v>
      </c>
      <c r="F898" s="2" t="s">
        <v>53</v>
      </c>
      <c r="G898" s="5" t="s">
        <v>42</v>
      </c>
      <c r="H898" s="5" t="s">
        <v>105</v>
      </c>
      <c r="I898" s="2">
        <v>31</v>
      </c>
      <c r="J898" s="2" t="s">
        <v>17</v>
      </c>
      <c r="K898" s="2" t="s">
        <v>18</v>
      </c>
      <c r="L898" s="2" t="s">
        <v>96</v>
      </c>
      <c r="M898" s="4" t="str">
        <f t="shared" ref="M898:M961" si="28">IF(OR(L898="Retirement",L898="Resignation"),"Voluntary","Involuntary")</f>
        <v>Involuntary</v>
      </c>
      <c r="N898" s="23" t="s">
        <v>26</v>
      </c>
    </row>
    <row r="899" spans="1:14" x14ac:dyDescent="0.25">
      <c r="A899" s="22">
        <v>4795</v>
      </c>
      <c r="B899" s="3">
        <v>34941</v>
      </c>
      <c r="C899" s="3">
        <v>44055</v>
      </c>
      <c r="D899" s="2">
        <f t="shared" ref="D899:D962" si="29">YEAR(C899)-YEAR(B899)</f>
        <v>25</v>
      </c>
      <c r="E899" s="4" t="str" cm="1">
        <f t="array" ref="E899">_xlfn.IFS(
D899&lt;=5,"Newcomer",
D899&lt;=10,"Proficient",
D899&gt;10,"Expert"
)</f>
        <v>Expert</v>
      </c>
      <c r="F899" s="2" t="s">
        <v>53</v>
      </c>
      <c r="G899" s="5" t="s">
        <v>42</v>
      </c>
      <c r="H899" s="5" t="s">
        <v>105</v>
      </c>
      <c r="I899" s="2">
        <v>31</v>
      </c>
      <c r="J899" s="2" t="s">
        <v>17</v>
      </c>
      <c r="K899" s="2" t="s">
        <v>18</v>
      </c>
      <c r="L899" s="2" t="s">
        <v>96</v>
      </c>
      <c r="M899" s="4" t="str">
        <f t="shared" si="28"/>
        <v>Involuntary</v>
      </c>
      <c r="N899" s="23" t="s">
        <v>26</v>
      </c>
    </row>
    <row r="900" spans="1:14" x14ac:dyDescent="0.25">
      <c r="A900" s="22">
        <v>4797</v>
      </c>
      <c r="B900" s="3">
        <v>37743</v>
      </c>
      <c r="C900" s="3">
        <v>43996</v>
      </c>
      <c r="D900" s="2">
        <f t="shared" si="29"/>
        <v>17</v>
      </c>
      <c r="E900" s="4" t="str" cm="1">
        <f t="array" ref="E900">_xlfn.IFS(
D900&lt;=5,"Newcomer",
D900&lt;=10,"Proficient",
D900&gt;10,"Expert"
)</f>
        <v>Expert</v>
      </c>
      <c r="F900" s="2" t="s">
        <v>107</v>
      </c>
      <c r="G900" s="5" t="s">
        <v>42</v>
      </c>
      <c r="H900" s="5" t="s">
        <v>105</v>
      </c>
      <c r="I900" s="2">
        <v>11</v>
      </c>
      <c r="J900" s="2" t="s">
        <v>17</v>
      </c>
      <c r="K900" s="2" t="s">
        <v>18</v>
      </c>
      <c r="L900" s="2" t="s">
        <v>50</v>
      </c>
      <c r="M900" s="4" t="str">
        <f t="shared" si="28"/>
        <v>Voluntary</v>
      </c>
      <c r="N900" s="23" t="s">
        <v>26</v>
      </c>
    </row>
    <row r="901" spans="1:14" x14ac:dyDescent="0.25">
      <c r="A901" s="22">
        <v>4800</v>
      </c>
      <c r="B901" s="3">
        <v>35381</v>
      </c>
      <c r="C901" s="3">
        <v>44044</v>
      </c>
      <c r="D901" s="2">
        <f t="shared" si="29"/>
        <v>24</v>
      </c>
      <c r="E901" s="4" t="str" cm="1">
        <f t="array" ref="E901">_xlfn.IFS(
D901&lt;=5,"Newcomer",
D901&lt;=10,"Proficient",
D901&gt;10,"Expert"
)</f>
        <v>Expert</v>
      </c>
      <c r="F901" s="2" t="s">
        <v>108</v>
      </c>
      <c r="G901" s="5" t="s">
        <v>35</v>
      </c>
      <c r="H901" s="5" t="s">
        <v>76</v>
      </c>
      <c r="I901" s="2">
        <v>14</v>
      </c>
      <c r="J901" s="2" t="s">
        <v>24</v>
      </c>
      <c r="K901" s="2" t="s">
        <v>25</v>
      </c>
      <c r="L901" s="2" t="s">
        <v>96</v>
      </c>
      <c r="M901" s="4" t="str">
        <f t="shared" si="28"/>
        <v>Involuntary</v>
      </c>
      <c r="N901" s="23" t="s">
        <v>26</v>
      </c>
    </row>
    <row r="902" spans="1:14" x14ac:dyDescent="0.25">
      <c r="A902" s="22">
        <v>4805</v>
      </c>
      <c r="B902" s="3">
        <v>41742</v>
      </c>
      <c r="C902" s="3">
        <v>43898</v>
      </c>
      <c r="D902" s="2">
        <f t="shared" si="29"/>
        <v>6</v>
      </c>
      <c r="E902" s="4" t="str" cm="1">
        <f t="array" ref="E902">_xlfn.IFS(
D902&lt;=5,"Newcomer",
D902&lt;=10,"Proficient",
D902&gt;10,"Expert"
)</f>
        <v>Proficient</v>
      </c>
      <c r="F902" s="2" t="s">
        <v>107</v>
      </c>
      <c r="G902" s="5" t="s">
        <v>47</v>
      </c>
      <c r="H902" s="5" t="s">
        <v>95</v>
      </c>
      <c r="I902" s="2">
        <v>11</v>
      </c>
      <c r="J902" s="2" t="s">
        <v>17</v>
      </c>
      <c r="K902" s="2" t="s">
        <v>18</v>
      </c>
      <c r="L902" s="2" t="s">
        <v>96</v>
      </c>
      <c r="M902" s="4" t="str">
        <f t="shared" si="28"/>
        <v>Involuntary</v>
      </c>
      <c r="N902" s="23" t="s">
        <v>26</v>
      </c>
    </row>
    <row r="903" spans="1:14" x14ac:dyDescent="0.25">
      <c r="A903" s="22">
        <v>4806</v>
      </c>
      <c r="B903" s="3">
        <v>40848</v>
      </c>
      <c r="C903" s="3">
        <v>44080</v>
      </c>
      <c r="D903" s="2">
        <f t="shared" si="29"/>
        <v>9</v>
      </c>
      <c r="E903" s="4" t="str" cm="1">
        <f t="array" ref="E903">_xlfn.IFS(
D903&lt;=5,"Newcomer",
D903&lt;=10,"Proficient",
D903&gt;10,"Expert"
)</f>
        <v>Proficient</v>
      </c>
      <c r="F903" s="2" t="s">
        <v>79</v>
      </c>
      <c r="G903" s="5" t="s">
        <v>42</v>
      </c>
      <c r="H903" s="5" t="s">
        <v>105</v>
      </c>
      <c r="I903" s="2">
        <v>25</v>
      </c>
      <c r="J903" s="2" t="s">
        <v>17</v>
      </c>
      <c r="K903" s="2" t="s">
        <v>18</v>
      </c>
      <c r="L903" s="2" t="s">
        <v>96</v>
      </c>
      <c r="M903" s="4" t="str">
        <f t="shared" si="28"/>
        <v>Involuntary</v>
      </c>
      <c r="N903" s="23" t="s">
        <v>26</v>
      </c>
    </row>
    <row r="904" spans="1:14" x14ac:dyDescent="0.25">
      <c r="A904" s="22">
        <v>4807</v>
      </c>
      <c r="B904" s="3">
        <v>36828</v>
      </c>
      <c r="C904" s="3">
        <v>44186</v>
      </c>
      <c r="D904" s="2">
        <f t="shared" si="29"/>
        <v>20</v>
      </c>
      <c r="E904" s="4" t="str" cm="1">
        <f t="array" ref="E904">_xlfn.IFS(
D904&lt;=5,"Newcomer",
D904&lt;=10,"Proficient",
D904&gt;10,"Expert"
)</f>
        <v>Expert</v>
      </c>
      <c r="F904" s="2" t="s">
        <v>14</v>
      </c>
      <c r="G904" s="5" t="s">
        <v>35</v>
      </c>
      <c r="H904" s="5" t="s">
        <v>76</v>
      </c>
      <c r="I904" s="2">
        <v>35</v>
      </c>
      <c r="J904" s="2" t="s">
        <v>17</v>
      </c>
      <c r="K904" s="2" t="s">
        <v>18</v>
      </c>
      <c r="L904" s="2" t="s">
        <v>96</v>
      </c>
      <c r="M904" s="4" t="str">
        <f t="shared" si="28"/>
        <v>Involuntary</v>
      </c>
      <c r="N904" s="23" t="s">
        <v>26</v>
      </c>
    </row>
    <row r="905" spans="1:14" x14ac:dyDescent="0.25">
      <c r="A905" s="22">
        <v>4808</v>
      </c>
      <c r="B905" s="3">
        <v>34567</v>
      </c>
      <c r="C905" s="3">
        <v>44008</v>
      </c>
      <c r="D905" s="2">
        <f t="shared" si="29"/>
        <v>26</v>
      </c>
      <c r="E905" s="4" t="str" cm="1">
        <f t="array" ref="E905">_xlfn.IFS(
D905&lt;=5,"Newcomer",
D905&lt;=10,"Proficient",
D905&gt;10,"Expert"
)</f>
        <v>Expert</v>
      </c>
      <c r="F905" s="2" t="s">
        <v>78</v>
      </c>
      <c r="G905" s="5" t="s">
        <v>42</v>
      </c>
      <c r="H905" s="5" t="s">
        <v>105</v>
      </c>
      <c r="I905" s="2">
        <v>21</v>
      </c>
      <c r="J905" s="2" t="s">
        <v>17</v>
      </c>
      <c r="K905" s="2" t="s">
        <v>18</v>
      </c>
      <c r="L905" s="2" t="s">
        <v>96</v>
      </c>
      <c r="M905" s="4" t="str">
        <f t="shared" si="28"/>
        <v>Involuntary</v>
      </c>
      <c r="N905" s="23" t="s">
        <v>26</v>
      </c>
    </row>
    <row r="906" spans="1:14" x14ac:dyDescent="0.25">
      <c r="A906" s="22">
        <v>4809</v>
      </c>
      <c r="B906" s="3">
        <v>42042</v>
      </c>
      <c r="C906" s="3">
        <v>43976</v>
      </c>
      <c r="D906" s="2">
        <f t="shared" si="29"/>
        <v>5</v>
      </c>
      <c r="E906" s="4" t="str" cm="1">
        <f t="array" ref="E906">_xlfn.IFS(
D906&lt;=5,"Newcomer",
D906&lt;=10,"Proficient",
D906&gt;10,"Expert"
)</f>
        <v>Newcomer</v>
      </c>
      <c r="F906" s="2" t="s">
        <v>30</v>
      </c>
      <c r="G906" s="5" t="s">
        <v>42</v>
      </c>
      <c r="H906" s="5" t="s">
        <v>105</v>
      </c>
      <c r="I906" s="2">
        <v>37</v>
      </c>
      <c r="J906" s="2" t="s">
        <v>17</v>
      </c>
      <c r="K906" s="2" t="s">
        <v>18</v>
      </c>
      <c r="L906" s="2" t="s">
        <v>96</v>
      </c>
      <c r="M906" s="4" t="str">
        <f t="shared" si="28"/>
        <v>Involuntary</v>
      </c>
      <c r="N906" s="23" t="s">
        <v>26</v>
      </c>
    </row>
    <row r="907" spans="1:14" x14ac:dyDescent="0.25">
      <c r="A907" s="22">
        <v>4811</v>
      </c>
      <c r="B907" s="3">
        <v>41060</v>
      </c>
      <c r="C907" s="3">
        <v>43861</v>
      </c>
      <c r="D907" s="2">
        <f t="shared" si="29"/>
        <v>8</v>
      </c>
      <c r="E907" s="4" t="str" cm="1">
        <f t="array" ref="E907">_xlfn.IFS(
D907&lt;=5,"Newcomer",
D907&lt;=10,"Proficient",
D907&gt;10,"Expert"
)</f>
        <v>Proficient</v>
      </c>
      <c r="F907" s="2" t="s">
        <v>14</v>
      </c>
      <c r="G907" s="5" t="s">
        <v>35</v>
      </c>
      <c r="H907" s="5" t="s">
        <v>76</v>
      </c>
      <c r="I907" s="2">
        <v>35</v>
      </c>
      <c r="J907" s="2" t="s">
        <v>24</v>
      </c>
      <c r="K907" s="2" t="s">
        <v>25</v>
      </c>
      <c r="L907" s="2" t="s">
        <v>96</v>
      </c>
      <c r="M907" s="4" t="str">
        <f t="shared" si="28"/>
        <v>Involuntary</v>
      </c>
      <c r="N907" s="23" t="s">
        <v>26</v>
      </c>
    </row>
    <row r="908" spans="1:14" x14ac:dyDescent="0.25">
      <c r="A908" s="22">
        <v>4815</v>
      </c>
      <c r="B908" s="3">
        <v>33234</v>
      </c>
      <c r="C908" s="3">
        <v>44029</v>
      </c>
      <c r="D908" s="2">
        <f t="shared" si="29"/>
        <v>30</v>
      </c>
      <c r="E908" s="4" t="str" cm="1">
        <f t="array" ref="E908">_xlfn.IFS(
D908&lt;=5,"Newcomer",
D908&lt;=10,"Proficient",
D908&gt;10,"Expert"
)</f>
        <v>Expert</v>
      </c>
      <c r="F908" s="2" t="s">
        <v>41</v>
      </c>
      <c r="G908" s="5" t="s">
        <v>47</v>
      </c>
      <c r="H908" s="5" t="s">
        <v>95</v>
      </c>
      <c r="I908" s="2">
        <v>15</v>
      </c>
      <c r="J908" s="2" t="s">
        <v>24</v>
      </c>
      <c r="K908" s="2" t="s">
        <v>25</v>
      </c>
      <c r="L908" s="2" t="s">
        <v>96</v>
      </c>
      <c r="M908" s="4" t="str">
        <f t="shared" si="28"/>
        <v>Involuntary</v>
      </c>
      <c r="N908" s="23" t="s">
        <v>26</v>
      </c>
    </row>
    <row r="909" spans="1:14" x14ac:dyDescent="0.25">
      <c r="A909" s="22">
        <v>4819</v>
      </c>
      <c r="B909" s="3">
        <v>35714</v>
      </c>
      <c r="C909" s="3">
        <v>44087</v>
      </c>
      <c r="D909" s="2">
        <f t="shared" si="29"/>
        <v>23</v>
      </c>
      <c r="E909" s="4" t="str" cm="1">
        <f t="array" ref="E909">_xlfn.IFS(
D909&lt;=5,"Newcomer",
D909&lt;=10,"Proficient",
D909&gt;10,"Expert"
)</f>
        <v>Expert</v>
      </c>
      <c r="F909" s="2" t="s">
        <v>106</v>
      </c>
      <c r="G909" s="5" t="s">
        <v>35</v>
      </c>
      <c r="H909" s="5" t="s">
        <v>76</v>
      </c>
      <c r="I909" s="2">
        <v>20</v>
      </c>
      <c r="J909" s="2" t="s">
        <v>17</v>
      </c>
      <c r="K909" s="2" t="s">
        <v>18</v>
      </c>
      <c r="L909" s="2" t="s">
        <v>96</v>
      </c>
      <c r="M909" s="4" t="str">
        <f t="shared" si="28"/>
        <v>Involuntary</v>
      </c>
      <c r="N909" s="23" t="s">
        <v>26</v>
      </c>
    </row>
    <row r="910" spans="1:14" x14ac:dyDescent="0.25">
      <c r="A910" s="22">
        <v>4820</v>
      </c>
      <c r="B910" s="3">
        <v>36594</v>
      </c>
      <c r="C910" s="3">
        <v>43870</v>
      </c>
      <c r="D910" s="2">
        <f t="shared" si="29"/>
        <v>20</v>
      </c>
      <c r="E910" s="4" t="str" cm="1">
        <f t="array" ref="E910">_xlfn.IFS(
D910&lt;=5,"Newcomer",
D910&lt;=10,"Proficient",
D910&gt;10,"Expert"
)</f>
        <v>Expert</v>
      </c>
      <c r="F910" s="2" t="s">
        <v>74</v>
      </c>
      <c r="G910" s="5" t="s">
        <v>71</v>
      </c>
      <c r="H910" s="5" t="s">
        <v>116</v>
      </c>
      <c r="I910" s="2">
        <v>9</v>
      </c>
      <c r="J910" s="2" t="s">
        <v>17</v>
      </c>
      <c r="K910" s="2" t="s">
        <v>18</v>
      </c>
      <c r="L910" s="2" t="s">
        <v>96</v>
      </c>
      <c r="M910" s="4" t="str">
        <f t="shared" si="28"/>
        <v>Involuntary</v>
      </c>
      <c r="N910" s="23" t="s">
        <v>26</v>
      </c>
    </row>
    <row r="911" spans="1:14" x14ac:dyDescent="0.25">
      <c r="A911" s="22">
        <v>4823</v>
      </c>
      <c r="B911" s="3">
        <v>36788</v>
      </c>
      <c r="C911" s="3">
        <v>44130</v>
      </c>
      <c r="D911" s="2">
        <f t="shared" si="29"/>
        <v>20</v>
      </c>
      <c r="E911" s="4" t="str" cm="1">
        <f t="array" ref="E911">_xlfn.IFS(
D911&lt;=5,"Newcomer",
D911&lt;=10,"Proficient",
D911&gt;10,"Expert"
)</f>
        <v>Expert</v>
      </c>
      <c r="F911" s="2" t="s">
        <v>30</v>
      </c>
      <c r="G911" s="5" t="s">
        <v>42</v>
      </c>
      <c r="H911" s="5" t="s">
        <v>105</v>
      </c>
      <c r="I911" s="2">
        <v>37</v>
      </c>
      <c r="J911" s="2" t="s">
        <v>17</v>
      </c>
      <c r="K911" s="2" t="s">
        <v>18</v>
      </c>
      <c r="L911" s="2" t="s">
        <v>96</v>
      </c>
      <c r="M911" s="4" t="str">
        <f t="shared" si="28"/>
        <v>Involuntary</v>
      </c>
      <c r="N911" s="23" t="s">
        <v>26</v>
      </c>
    </row>
    <row r="912" spans="1:14" x14ac:dyDescent="0.25">
      <c r="A912" s="22">
        <v>4827</v>
      </c>
      <c r="B912" s="3">
        <v>36776</v>
      </c>
      <c r="C912" s="3">
        <v>44184</v>
      </c>
      <c r="D912" s="2">
        <f t="shared" si="29"/>
        <v>20</v>
      </c>
      <c r="E912" s="4" t="str" cm="1">
        <f t="array" ref="E912">_xlfn.IFS(
D912&lt;=5,"Newcomer",
D912&lt;=10,"Proficient",
D912&gt;10,"Expert"
)</f>
        <v>Expert</v>
      </c>
      <c r="F912" s="2" t="s">
        <v>14</v>
      </c>
      <c r="G912" s="5" t="s">
        <v>35</v>
      </c>
      <c r="H912" s="5" t="s">
        <v>76</v>
      </c>
      <c r="I912" s="2">
        <v>35</v>
      </c>
      <c r="J912" s="2" t="s">
        <v>24</v>
      </c>
      <c r="K912" s="2" t="s">
        <v>25</v>
      </c>
      <c r="L912" s="2" t="s">
        <v>96</v>
      </c>
      <c r="M912" s="4" t="str">
        <f t="shared" si="28"/>
        <v>Involuntary</v>
      </c>
      <c r="N912" s="23" t="s">
        <v>26</v>
      </c>
    </row>
    <row r="913" spans="1:14" x14ac:dyDescent="0.25">
      <c r="A913" s="22">
        <v>4828</v>
      </c>
      <c r="B913" s="3">
        <v>40513</v>
      </c>
      <c r="C913" s="3">
        <v>44169</v>
      </c>
      <c r="D913" s="2">
        <f t="shared" si="29"/>
        <v>10</v>
      </c>
      <c r="E913" s="4" t="str" cm="1">
        <f t="array" ref="E913">_xlfn.IFS(
D913&lt;=5,"Newcomer",
D913&lt;=10,"Proficient",
D913&gt;10,"Expert"
)</f>
        <v>Proficient</v>
      </c>
      <c r="F913" s="2" t="s">
        <v>14</v>
      </c>
      <c r="G913" s="5" t="s">
        <v>35</v>
      </c>
      <c r="H913" s="5" t="s">
        <v>76</v>
      </c>
      <c r="I913" s="2">
        <v>35</v>
      </c>
      <c r="J913" s="2" t="s">
        <v>17</v>
      </c>
      <c r="K913" s="2" t="s">
        <v>18</v>
      </c>
      <c r="L913" s="2" t="s">
        <v>96</v>
      </c>
      <c r="M913" s="4" t="str">
        <f t="shared" si="28"/>
        <v>Involuntary</v>
      </c>
      <c r="N913" s="23" t="s">
        <v>26</v>
      </c>
    </row>
    <row r="914" spans="1:14" x14ac:dyDescent="0.25">
      <c r="A914" s="22">
        <v>4833</v>
      </c>
      <c r="B914" s="3">
        <v>38401</v>
      </c>
      <c r="C914" s="3">
        <v>44016</v>
      </c>
      <c r="D914" s="2">
        <f t="shared" si="29"/>
        <v>15</v>
      </c>
      <c r="E914" s="4" t="str" cm="1">
        <f t="array" ref="E914">_xlfn.IFS(
D914&lt;=5,"Newcomer",
D914&lt;=10,"Proficient",
D914&gt;10,"Expert"
)</f>
        <v>Expert</v>
      </c>
      <c r="F914" s="2" t="s">
        <v>30</v>
      </c>
      <c r="G914" s="5" t="s">
        <v>42</v>
      </c>
      <c r="H914" s="5" t="s">
        <v>105</v>
      </c>
      <c r="I914" s="2">
        <v>37</v>
      </c>
      <c r="J914" s="2" t="s">
        <v>24</v>
      </c>
      <c r="K914" s="2" t="s">
        <v>25</v>
      </c>
      <c r="L914" s="2" t="s">
        <v>96</v>
      </c>
      <c r="M914" s="4" t="str">
        <f t="shared" si="28"/>
        <v>Involuntary</v>
      </c>
      <c r="N914" s="23" t="s">
        <v>26</v>
      </c>
    </row>
    <row r="915" spans="1:14" x14ac:dyDescent="0.25">
      <c r="A915" s="22">
        <v>4835</v>
      </c>
      <c r="B915" s="3">
        <v>37426</v>
      </c>
      <c r="C915" s="3">
        <v>44000</v>
      </c>
      <c r="D915" s="2">
        <f t="shared" si="29"/>
        <v>18</v>
      </c>
      <c r="E915" s="4" t="str" cm="1">
        <f t="array" ref="E915">_xlfn.IFS(
D915&lt;=5,"Newcomer",
D915&lt;=10,"Proficient",
D915&gt;10,"Expert"
)</f>
        <v>Expert</v>
      </c>
      <c r="F915" s="2" t="s">
        <v>14</v>
      </c>
      <c r="G915" s="5" t="s">
        <v>35</v>
      </c>
      <c r="H915" s="5" t="s">
        <v>76</v>
      </c>
      <c r="I915" s="2">
        <v>35</v>
      </c>
      <c r="J915" s="2" t="s">
        <v>24</v>
      </c>
      <c r="K915" s="2" t="s">
        <v>25</v>
      </c>
      <c r="L915" s="2" t="s">
        <v>96</v>
      </c>
      <c r="M915" s="4" t="str">
        <f t="shared" si="28"/>
        <v>Involuntary</v>
      </c>
      <c r="N915" s="23" t="s">
        <v>26</v>
      </c>
    </row>
    <row r="916" spans="1:14" x14ac:dyDescent="0.25">
      <c r="A916" s="22">
        <v>4836</v>
      </c>
      <c r="B916" s="3">
        <v>34627</v>
      </c>
      <c r="C916" s="3">
        <v>44036</v>
      </c>
      <c r="D916" s="2">
        <f t="shared" si="29"/>
        <v>26</v>
      </c>
      <c r="E916" s="4" t="str" cm="1">
        <f t="array" ref="E916">_xlfn.IFS(
D916&lt;=5,"Newcomer",
D916&lt;=10,"Proficient",
D916&gt;10,"Expert"
)</f>
        <v>Expert</v>
      </c>
      <c r="F916" s="2" t="s">
        <v>73</v>
      </c>
      <c r="G916" s="5" t="s">
        <v>42</v>
      </c>
      <c r="H916" s="5" t="s">
        <v>105</v>
      </c>
      <c r="I916" s="2">
        <v>32</v>
      </c>
      <c r="J916" s="2" t="s">
        <v>17</v>
      </c>
      <c r="K916" s="2" t="s">
        <v>18</v>
      </c>
      <c r="L916" s="2" t="s">
        <v>96</v>
      </c>
      <c r="M916" s="4" t="str">
        <f t="shared" si="28"/>
        <v>Involuntary</v>
      </c>
      <c r="N916" s="23" t="s">
        <v>26</v>
      </c>
    </row>
    <row r="917" spans="1:14" x14ac:dyDescent="0.25">
      <c r="A917" s="22">
        <v>4841</v>
      </c>
      <c r="B917" s="3">
        <v>33758</v>
      </c>
      <c r="C917" s="3">
        <v>44074</v>
      </c>
      <c r="D917" s="2">
        <f t="shared" si="29"/>
        <v>28</v>
      </c>
      <c r="E917" s="4" t="str" cm="1">
        <f t="array" ref="E917">_xlfn.IFS(
D917&lt;=5,"Newcomer",
D917&lt;=10,"Proficient",
D917&gt;10,"Expert"
)</f>
        <v>Expert</v>
      </c>
      <c r="F917" s="2" t="s">
        <v>27</v>
      </c>
      <c r="G917" s="5" t="s">
        <v>42</v>
      </c>
      <c r="H917" s="5" t="s">
        <v>105</v>
      </c>
      <c r="I917" s="2">
        <v>16</v>
      </c>
      <c r="J917" s="2" t="s">
        <v>24</v>
      </c>
      <c r="K917" s="2" t="s">
        <v>25</v>
      </c>
      <c r="L917" s="2" t="s">
        <v>96</v>
      </c>
      <c r="M917" s="4" t="str">
        <f t="shared" si="28"/>
        <v>Involuntary</v>
      </c>
      <c r="N917" s="23" t="s">
        <v>26</v>
      </c>
    </row>
    <row r="918" spans="1:14" x14ac:dyDescent="0.25">
      <c r="A918" s="22">
        <v>4848</v>
      </c>
      <c r="B918" s="3">
        <v>37469</v>
      </c>
      <c r="C918" s="3">
        <v>43962</v>
      </c>
      <c r="D918" s="2">
        <f t="shared" si="29"/>
        <v>18</v>
      </c>
      <c r="E918" s="4" t="str" cm="1">
        <f t="array" ref="E918">_xlfn.IFS(
D918&lt;=5,"Newcomer",
D918&lt;=10,"Proficient",
D918&gt;10,"Expert"
)</f>
        <v>Expert</v>
      </c>
      <c r="F918" s="2" t="s">
        <v>30</v>
      </c>
      <c r="G918" s="5" t="s">
        <v>42</v>
      </c>
      <c r="H918" s="5" t="s">
        <v>105</v>
      </c>
      <c r="I918" s="2">
        <v>37</v>
      </c>
      <c r="J918" s="2" t="s">
        <v>24</v>
      </c>
      <c r="K918" s="2" t="s">
        <v>25</v>
      </c>
      <c r="L918" s="2" t="s">
        <v>96</v>
      </c>
      <c r="M918" s="4" t="str">
        <f t="shared" si="28"/>
        <v>Involuntary</v>
      </c>
      <c r="N918" s="23" t="s">
        <v>26</v>
      </c>
    </row>
    <row r="919" spans="1:14" x14ac:dyDescent="0.25">
      <c r="A919" s="22">
        <v>4854</v>
      </c>
      <c r="B919" s="3">
        <v>36828</v>
      </c>
      <c r="C919" s="3">
        <v>43857</v>
      </c>
      <c r="D919" s="2">
        <f t="shared" si="29"/>
        <v>20</v>
      </c>
      <c r="E919" s="4" t="str" cm="1">
        <f t="array" ref="E919">_xlfn.IFS(
D919&lt;=5,"Newcomer",
D919&lt;=10,"Proficient",
D919&gt;10,"Expert"
)</f>
        <v>Expert</v>
      </c>
      <c r="F919" s="2" t="s">
        <v>30</v>
      </c>
      <c r="G919" s="5" t="s">
        <v>42</v>
      </c>
      <c r="H919" s="5" t="s">
        <v>105</v>
      </c>
      <c r="I919" s="2">
        <v>37</v>
      </c>
      <c r="J919" s="2" t="s">
        <v>17</v>
      </c>
      <c r="K919" s="2" t="s">
        <v>18</v>
      </c>
      <c r="L919" s="2" t="s">
        <v>96</v>
      </c>
      <c r="M919" s="4" t="str">
        <f t="shared" si="28"/>
        <v>Involuntary</v>
      </c>
      <c r="N919" s="23" t="s">
        <v>26</v>
      </c>
    </row>
    <row r="920" spans="1:14" x14ac:dyDescent="0.25">
      <c r="A920" s="22">
        <v>4856</v>
      </c>
      <c r="B920" s="3">
        <v>38694</v>
      </c>
      <c r="C920" s="3">
        <v>43966</v>
      </c>
      <c r="D920" s="2">
        <f t="shared" si="29"/>
        <v>15</v>
      </c>
      <c r="E920" s="4" t="str" cm="1">
        <f t="array" ref="E920">_xlfn.IFS(
D920&lt;=5,"Newcomer",
D920&lt;=10,"Proficient",
D920&gt;10,"Expert"
)</f>
        <v>Expert</v>
      </c>
      <c r="F920" s="2" t="s">
        <v>79</v>
      </c>
      <c r="G920" s="5" t="s">
        <v>42</v>
      </c>
      <c r="H920" s="5" t="s">
        <v>105</v>
      </c>
      <c r="I920" s="2">
        <v>25</v>
      </c>
      <c r="J920" s="2" t="s">
        <v>17</v>
      </c>
      <c r="K920" s="2" t="s">
        <v>18</v>
      </c>
      <c r="L920" s="2" t="s">
        <v>96</v>
      </c>
      <c r="M920" s="4" t="str">
        <f t="shared" si="28"/>
        <v>Involuntary</v>
      </c>
      <c r="N920" s="23" t="s">
        <v>26</v>
      </c>
    </row>
    <row r="921" spans="1:14" x14ac:dyDescent="0.25">
      <c r="A921" s="22">
        <v>4857</v>
      </c>
      <c r="B921" s="3">
        <v>36850</v>
      </c>
      <c r="C921" s="3">
        <v>43880</v>
      </c>
      <c r="D921" s="2">
        <f t="shared" si="29"/>
        <v>20</v>
      </c>
      <c r="E921" s="4" t="str" cm="1">
        <f t="array" ref="E921">_xlfn.IFS(
D921&lt;=5,"Newcomer",
D921&lt;=10,"Proficient",
D921&gt;10,"Expert"
)</f>
        <v>Expert</v>
      </c>
      <c r="F921" s="2" t="s">
        <v>30</v>
      </c>
      <c r="G921" s="5" t="s">
        <v>42</v>
      </c>
      <c r="H921" s="5" t="s">
        <v>105</v>
      </c>
      <c r="I921" s="2">
        <v>37</v>
      </c>
      <c r="J921" s="2" t="s">
        <v>17</v>
      </c>
      <c r="K921" s="2" t="s">
        <v>18</v>
      </c>
      <c r="L921" s="2" t="s">
        <v>96</v>
      </c>
      <c r="M921" s="4" t="str">
        <f t="shared" si="28"/>
        <v>Involuntary</v>
      </c>
      <c r="N921" s="23" t="s">
        <v>26</v>
      </c>
    </row>
    <row r="922" spans="1:14" x14ac:dyDescent="0.25">
      <c r="A922" s="22">
        <v>4858</v>
      </c>
      <c r="B922" s="3">
        <v>37049</v>
      </c>
      <c r="C922" s="3">
        <v>43849</v>
      </c>
      <c r="D922" s="2">
        <f t="shared" si="29"/>
        <v>19</v>
      </c>
      <c r="E922" s="4" t="str" cm="1">
        <f t="array" ref="E922">_xlfn.IFS(
D922&lt;=5,"Newcomer",
D922&lt;=10,"Proficient",
D922&gt;10,"Expert"
)</f>
        <v>Expert</v>
      </c>
      <c r="F922" s="2" t="s">
        <v>115</v>
      </c>
      <c r="G922" s="5" t="s">
        <v>42</v>
      </c>
      <c r="H922" s="5" t="s">
        <v>105</v>
      </c>
      <c r="I922" s="2">
        <v>17</v>
      </c>
      <c r="J922" s="2" t="s">
        <v>17</v>
      </c>
      <c r="K922" s="2" t="s">
        <v>18</v>
      </c>
      <c r="L922" s="2" t="s">
        <v>96</v>
      </c>
      <c r="M922" s="4" t="str">
        <f t="shared" si="28"/>
        <v>Involuntary</v>
      </c>
      <c r="N922" s="23" t="s">
        <v>26</v>
      </c>
    </row>
    <row r="923" spans="1:14" x14ac:dyDescent="0.25">
      <c r="A923" s="22">
        <v>4862</v>
      </c>
      <c r="B923" s="3">
        <v>38611</v>
      </c>
      <c r="C923" s="3">
        <v>43921</v>
      </c>
      <c r="D923" s="2">
        <f t="shared" si="29"/>
        <v>15</v>
      </c>
      <c r="E923" s="4" t="str" cm="1">
        <f t="array" ref="E923">_xlfn.IFS(
D923&lt;=5,"Newcomer",
D923&lt;=10,"Proficient",
D923&gt;10,"Expert"
)</f>
        <v>Expert</v>
      </c>
      <c r="F923" s="2" t="s">
        <v>86</v>
      </c>
      <c r="G923" s="5" t="s">
        <v>42</v>
      </c>
      <c r="H923" s="5" t="s">
        <v>105</v>
      </c>
      <c r="I923" s="2">
        <v>8</v>
      </c>
      <c r="J923" s="2" t="s">
        <v>17</v>
      </c>
      <c r="K923" s="2" t="s">
        <v>18</v>
      </c>
      <c r="L923" s="2" t="s">
        <v>96</v>
      </c>
      <c r="M923" s="4" t="str">
        <f t="shared" si="28"/>
        <v>Involuntary</v>
      </c>
      <c r="N923" s="23" t="s">
        <v>26</v>
      </c>
    </row>
    <row r="924" spans="1:14" x14ac:dyDescent="0.25">
      <c r="A924" s="22">
        <v>4863</v>
      </c>
      <c r="B924" s="3">
        <v>39683</v>
      </c>
      <c r="C924" s="3">
        <v>43927</v>
      </c>
      <c r="D924" s="2">
        <f t="shared" si="29"/>
        <v>12</v>
      </c>
      <c r="E924" s="4" t="str" cm="1">
        <f t="array" ref="E924">_xlfn.IFS(
D924&lt;=5,"Newcomer",
D924&lt;=10,"Proficient",
D924&gt;10,"Expert"
)</f>
        <v>Expert</v>
      </c>
      <c r="F924" s="2" t="s">
        <v>14</v>
      </c>
      <c r="G924" s="5" t="s">
        <v>35</v>
      </c>
      <c r="H924" s="5" t="s">
        <v>76</v>
      </c>
      <c r="I924" s="2">
        <v>35</v>
      </c>
      <c r="J924" s="2" t="s">
        <v>17</v>
      </c>
      <c r="K924" s="2" t="s">
        <v>18</v>
      </c>
      <c r="L924" s="2" t="s">
        <v>96</v>
      </c>
      <c r="M924" s="4" t="str">
        <f t="shared" si="28"/>
        <v>Involuntary</v>
      </c>
      <c r="N924" s="23" t="s">
        <v>26</v>
      </c>
    </row>
    <row r="925" spans="1:14" x14ac:dyDescent="0.25">
      <c r="A925" s="22">
        <v>4864</v>
      </c>
      <c r="B925" s="3">
        <v>40538</v>
      </c>
      <c r="C925" s="3">
        <v>43891</v>
      </c>
      <c r="D925" s="2">
        <f t="shared" si="29"/>
        <v>10</v>
      </c>
      <c r="E925" s="4" t="str" cm="1">
        <f t="array" ref="E925">_xlfn.IFS(
D925&lt;=5,"Newcomer",
D925&lt;=10,"Proficient",
D925&gt;10,"Expert"
)</f>
        <v>Proficient</v>
      </c>
      <c r="F925" s="2" t="s">
        <v>70</v>
      </c>
      <c r="G925" s="5" t="s">
        <v>47</v>
      </c>
      <c r="H925" s="5" t="s">
        <v>95</v>
      </c>
      <c r="I925" s="2">
        <v>6</v>
      </c>
      <c r="J925" s="2" t="s">
        <v>24</v>
      </c>
      <c r="K925" s="2" t="s">
        <v>25</v>
      </c>
      <c r="L925" s="2" t="s">
        <v>96</v>
      </c>
      <c r="M925" s="4" t="str">
        <f t="shared" si="28"/>
        <v>Involuntary</v>
      </c>
      <c r="N925" s="23" t="s">
        <v>26</v>
      </c>
    </row>
    <row r="926" spans="1:14" x14ac:dyDescent="0.25">
      <c r="A926" s="22">
        <v>4865</v>
      </c>
      <c r="B926" s="3">
        <v>40858</v>
      </c>
      <c r="C926" s="3">
        <v>44026</v>
      </c>
      <c r="D926" s="2">
        <f t="shared" si="29"/>
        <v>9</v>
      </c>
      <c r="E926" s="4" t="str" cm="1">
        <f t="array" ref="E926">_xlfn.IFS(
D926&lt;=5,"Newcomer",
D926&lt;=10,"Proficient",
D926&gt;10,"Expert"
)</f>
        <v>Proficient</v>
      </c>
      <c r="F926" s="2" t="s">
        <v>73</v>
      </c>
      <c r="G926" s="5" t="s">
        <v>42</v>
      </c>
      <c r="H926" s="5" t="s">
        <v>105</v>
      </c>
      <c r="I926" s="2">
        <v>32</v>
      </c>
      <c r="J926" s="2" t="s">
        <v>24</v>
      </c>
      <c r="K926" s="2" t="s">
        <v>25</v>
      </c>
      <c r="L926" s="2" t="s">
        <v>96</v>
      </c>
      <c r="M926" s="4" t="str">
        <f t="shared" si="28"/>
        <v>Involuntary</v>
      </c>
      <c r="N926" s="23" t="s">
        <v>26</v>
      </c>
    </row>
    <row r="927" spans="1:14" x14ac:dyDescent="0.25">
      <c r="A927" s="22">
        <v>4867</v>
      </c>
      <c r="B927" s="3">
        <v>38401</v>
      </c>
      <c r="C927" s="3">
        <v>44073</v>
      </c>
      <c r="D927" s="2">
        <f t="shared" si="29"/>
        <v>15</v>
      </c>
      <c r="E927" s="4" t="str" cm="1">
        <f t="array" ref="E927">_xlfn.IFS(
D927&lt;=5,"Newcomer",
D927&lt;=10,"Proficient",
D927&gt;10,"Expert"
)</f>
        <v>Expert</v>
      </c>
      <c r="F927" s="2" t="s">
        <v>91</v>
      </c>
      <c r="G927" s="5" t="s">
        <v>42</v>
      </c>
      <c r="H927" s="5" t="s">
        <v>105</v>
      </c>
      <c r="I927" s="2">
        <v>29</v>
      </c>
      <c r="J927" s="2" t="s">
        <v>24</v>
      </c>
      <c r="K927" s="2" t="s">
        <v>25</v>
      </c>
      <c r="L927" s="2" t="s">
        <v>96</v>
      </c>
      <c r="M927" s="4" t="str">
        <f t="shared" si="28"/>
        <v>Involuntary</v>
      </c>
      <c r="N927" s="23" t="s">
        <v>26</v>
      </c>
    </row>
    <row r="928" spans="1:14" x14ac:dyDescent="0.25">
      <c r="A928" s="22">
        <v>4874</v>
      </c>
      <c r="B928" s="3">
        <v>39918</v>
      </c>
      <c r="C928" s="3">
        <v>44025</v>
      </c>
      <c r="D928" s="2">
        <f t="shared" si="29"/>
        <v>11</v>
      </c>
      <c r="E928" s="4" t="str" cm="1">
        <f t="array" ref="E928">_xlfn.IFS(
D928&lt;=5,"Newcomer",
D928&lt;=10,"Proficient",
D928&gt;10,"Expert"
)</f>
        <v>Expert</v>
      </c>
      <c r="F928" s="2" t="s">
        <v>27</v>
      </c>
      <c r="G928" s="5" t="s">
        <v>47</v>
      </c>
      <c r="H928" s="5" t="s">
        <v>95</v>
      </c>
      <c r="I928" s="2">
        <v>16</v>
      </c>
      <c r="J928" s="2" t="s">
        <v>24</v>
      </c>
      <c r="K928" s="2" t="s">
        <v>25</v>
      </c>
      <c r="L928" s="2" t="s">
        <v>96</v>
      </c>
      <c r="M928" s="4" t="str">
        <f t="shared" si="28"/>
        <v>Involuntary</v>
      </c>
      <c r="N928" s="23" t="s">
        <v>26</v>
      </c>
    </row>
    <row r="929" spans="1:14" x14ac:dyDescent="0.25">
      <c r="A929" s="22">
        <v>4875</v>
      </c>
      <c r="B929" s="3">
        <v>34001</v>
      </c>
      <c r="C929" s="3">
        <v>43927</v>
      </c>
      <c r="D929" s="2">
        <f t="shared" si="29"/>
        <v>27</v>
      </c>
      <c r="E929" s="4" t="str" cm="1">
        <f t="array" ref="E929">_xlfn.IFS(
D929&lt;=5,"Newcomer",
D929&lt;=10,"Proficient",
D929&gt;10,"Expert"
)</f>
        <v>Expert</v>
      </c>
      <c r="F929" s="2" t="s">
        <v>27</v>
      </c>
      <c r="G929" s="5" t="s">
        <v>47</v>
      </c>
      <c r="H929" s="5" t="s">
        <v>95</v>
      </c>
      <c r="I929" s="2">
        <v>16</v>
      </c>
      <c r="J929" s="2" t="s">
        <v>24</v>
      </c>
      <c r="K929" s="2" t="s">
        <v>25</v>
      </c>
      <c r="L929" s="2" t="s">
        <v>96</v>
      </c>
      <c r="M929" s="4" t="str">
        <f t="shared" si="28"/>
        <v>Involuntary</v>
      </c>
      <c r="N929" s="23" t="s">
        <v>26</v>
      </c>
    </row>
    <row r="930" spans="1:14" x14ac:dyDescent="0.25">
      <c r="A930" s="22">
        <v>4877</v>
      </c>
      <c r="B930" s="3">
        <v>33011</v>
      </c>
      <c r="C930" s="3">
        <v>43933</v>
      </c>
      <c r="D930" s="2">
        <f t="shared" si="29"/>
        <v>30</v>
      </c>
      <c r="E930" s="4" t="str" cm="1">
        <f t="array" ref="E930">_xlfn.IFS(
D930&lt;=5,"Newcomer",
D930&lt;=10,"Proficient",
D930&gt;10,"Expert"
)</f>
        <v>Expert</v>
      </c>
      <c r="F930" s="2" t="s">
        <v>30</v>
      </c>
      <c r="G930" s="5" t="s">
        <v>42</v>
      </c>
      <c r="H930" s="5" t="s">
        <v>105</v>
      </c>
      <c r="I930" s="2">
        <v>37</v>
      </c>
      <c r="J930" s="2" t="s">
        <v>24</v>
      </c>
      <c r="K930" s="2" t="s">
        <v>25</v>
      </c>
      <c r="L930" s="2" t="s">
        <v>96</v>
      </c>
      <c r="M930" s="4" t="str">
        <f t="shared" si="28"/>
        <v>Involuntary</v>
      </c>
      <c r="N930" s="23" t="s">
        <v>26</v>
      </c>
    </row>
    <row r="931" spans="1:14" x14ac:dyDescent="0.25">
      <c r="A931" s="22">
        <v>4881</v>
      </c>
      <c r="B931" s="3">
        <v>40626</v>
      </c>
      <c r="C931" s="3">
        <v>44062</v>
      </c>
      <c r="D931" s="2">
        <f t="shared" si="29"/>
        <v>9</v>
      </c>
      <c r="E931" s="4" t="str" cm="1">
        <f t="array" ref="E931">_xlfn.IFS(
D931&lt;=5,"Newcomer",
D931&lt;=10,"Proficient",
D931&gt;10,"Expert"
)</f>
        <v>Proficient</v>
      </c>
      <c r="F931" s="2" t="s">
        <v>89</v>
      </c>
      <c r="G931" s="5" t="s">
        <v>42</v>
      </c>
      <c r="H931" s="5" t="s">
        <v>105</v>
      </c>
      <c r="I931" s="2">
        <v>33</v>
      </c>
      <c r="J931" s="2" t="s">
        <v>17</v>
      </c>
      <c r="K931" s="2" t="s">
        <v>18</v>
      </c>
      <c r="L931" s="2" t="s">
        <v>96</v>
      </c>
      <c r="M931" s="4" t="str">
        <f t="shared" si="28"/>
        <v>Involuntary</v>
      </c>
      <c r="N931" s="23" t="s">
        <v>26</v>
      </c>
    </row>
    <row r="932" spans="1:14" x14ac:dyDescent="0.25">
      <c r="A932" s="22">
        <v>4885</v>
      </c>
      <c r="B932" s="3">
        <v>37498</v>
      </c>
      <c r="C932" s="3">
        <v>44113</v>
      </c>
      <c r="D932" s="2">
        <f t="shared" si="29"/>
        <v>18</v>
      </c>
      <c r="E932" s="4" t="str" cm="1">
        <f t="array" ref="E932">_xlfn.IFS(
D932&lt;=5,"Newcomer",
D932&lt;=10,"Proficient",
D932&gt;10,"Expert"
)</f>
        <v>Expert</v>
      </c>
      <c r="F932" s="2" t="s">
        <v>14</v>
      </c>
      <c r="G932" s="5" t="s">
        <v>35</v>
      </c>
      <c r="H932" s="5" t="s">
        <v>76</v>
      </c>
      <c r="I932" s="2">
        <v>35</v>
      </c>
      <c r="J932" s="2" t="s">
        <v>17</v>
      </c>
      <c r="K932" s="2" t="s">
        <v>18</v>
      </c>
      <c r="L932" s="2" t="s">
        <v>96</v>
      </c>
      <c r="M932" s="4" t="str">
        <f t="shared" si="28"/>
        <v>Involuntary</v>
      </c>
      <c r="N932" s="23" t="s">
        <v>26</v>
      </c>
    </row>
    <row r="933" spans="1:14" x14ac:dyDescent="0.25">
      <c r="A933" s="22">
        <v>4886</v>
      </c>
      <c r="B933" s="3">
        <v>35815</v>
      </c>
      <c r="C933" s="3">
        <v>43882</v>
      </c>
      <c r="D933" s="2">
        <f t="shared" si="29"/>
        <v>22</v>
      </c>
      <c r="E933" s="4" t="str" cm="1">
        <f t="array" ref="E933">_xlfn.IFS(
D933&lt;=5,"Newcomer",
D933&lt;=10,"Proficient",
D933&gt;10,"Expert"
)</f>
        <v>Expert</v>
      </c>
      <c r="F933" s="2" t="s">
        <v>14</v>
      </c>
      <c r="G933" s="5" t="s">
        <v>35</v>
      </c>
      <c r="H933" s="5" t="s">
        <v>76</v>
      </c>
      <c r="I933" s="2">
        <v>35</v>
      </c>
      <c r="J933" s="2" t="s">
        <v>17</v>
      </c>
      <c r="K933" s="2" t="s">
        <v>18</v>
      </c>
      <c r="L933" s="2" t="s">
        <v>96</v>
      </c>
      <c r="M933" s="4" t="str">
        <f t="shared" si="28"/>
        <v>Involuntary</v>
      </c>
      <c r="N933" s="23" t="s">
        <v>26</v>
      </c>
    </row>
    <row r="934" spans="1:14" x14ac:dyDescent="0.25">
      <c r="A934" s="22">
        <v>4889</v>
      </c>
      <c r="B934" s="3">
        <v>34508</v>
      </c>
      <c r="C934" s="3">
        <v>44056</v>
      </c>
      <c r="D934" s="2">
        <f t="shared" si="29"/>
        <v>26</v>
      </c>
      <c r="E934" s="4" t="str" cm="1">
        <f t="array" ref="E934">_xlfn.IFS(
D934&lt;=5,"Newcomer",
D934&lt;=10,"Proficient",
D934&gt;10,"Expert"
)</f>
        <v>Expert</v>
      </c>
      <c r="F934" s="2" t="s">
        <v>14</v>
      </c>
      <c r="G934" s="5" t="s">
        <v>35</v>
      </c>
      <c r="H934" s="5" t="s">
        <v>76</v>
      </c>
      <c r="I934" s="2">
        <v>35</v>
      </c>
      <c r="J934" s="2" t="s">
        <v>24</v>
      </c>
      <c r="K934" s="2" t="s">
        <v>25</v>
      </c>
      <c r="L934" s="2" t="s">
        <v>96</v>
      </c>
      <c r="M934" s="4" t="str">
        <f t="shared" si="28"/>
        <v>Involuntary</v>
      </c>
      <c r="N934" s="23" t="s">
        <v>26</v>
      </c>
    </row>
    <row r="935" spans="1:14" x14ac:dyDescent="0.25">
      <c r="A935" s="22">
        <v>4894</v>
      </c>
      <c r="B935" s="3">
        <v>34561</v>
      </c>
      <c r="C935" s="3">
        <v>44003</v>
      </c>
      <c r="D935" s="2">
        <f t="shared" si="29"/>
        <v>26</v>
      </c>
      <c r="E935" s="4" t="str" cm="1">
        <f t="array" ref="E935">_xlfn.IFS(
D935&lt;=5,"Newcomer",
D935&lt;=10,"Proficient",
D935&gt;10,"Expert"
)</f>
        <v>Expert</v>
      </c>
      <c r="F935" s="2" t="s">
        <v>78</v>
      </c>
      <c r="G935" s="5" t="s">
        <v>42</v>
      </c>
      <c r="H935" s="5" t="s">
        <v>105</v>
      </c>
      <c r="I935" s="2">
        <v>21</v>
      </c>
      <c r="J935" s="2" t="s">
        <v>17</v>
      </c>
      <c r="K935" s="2" t="s">
        <v>18</v>
      </c>
      <c r="L935" s="2" t="s">
        <v>96</v>
      </c>
      <c r="M935" s="4" t="str">
        <f t="shared" si="28"/>
        <v>Involuntary</v>
      </c>
      <c r="N935" s="23" t="s">
        <v>26</v>
      </c>
    </row>
    <row r="936" spans="1:14" x14ac:dyDescent="0.25">
      <c r="A936" s="22">
        <v>4896</v>
      </c>
      <c r="B936" s="3">
        <v>34825</v>
      </c>
      <c r="C936" s="3">
        <v>44122</v>
      </c>
      <c r="D936" s="2">
        <f t="shared" si="29"/>
        <v>25</v>
      </c>
      <c r="E936" s="4" t="str" cm="1">
        <f t="array" ref="E936">_xlfn.IFS(
D936&lt;=5,"Newcomer",
D936&lt;=10,"Proficient",
D936&gt;10,"Expert"
)</f>
        <v>Expert</v>
      </c>
      <c r="F936" s="2" t="s">
        <v>14</v>
      </c>
      <c r="G936" s="5" t="s">
        <v>35</v>
      </c>
      <c r="H936" s="5" t="s">
        <v>76</v>
      </c>
      <c r="I936" s="2">
        <v>35</v>
      </c>
      <c r="J936" s="2" t="s">
        <v>24</v>
      </c>
      <c r="K936" s="2" t="s">
        <v>25</v>
      </c>
      <c r="L936" s="2" t="s">
        <v>96</v>
      </c>
      <c r="M936" s="4" t="str">
        <f t="shared" si="28"/>
        <v>Involuntary</v>
      </c>
      <c r="N936" s="23" t="s">
        <v>26</v>
      </c>
    </row>
    <row r="937" spans="1:14" x14ac:dyDescent="0.25">
      <c r="A937" s="22">
        <v>4897</v>
      </c>
      <c r="B937" s="3">
        <v>41284</v>
      </c>
      <c r="C937" s="3">
        <v>44062</v>
      </c>
      <c r="D937" s="2">
        <f t="shared" si="29"/>
        <v>7</v>
      </c>
      <c r="E937" s="4" t="str" cm="1">
        <f t="array" ref="E937">_xlfn.IFS(
D937&lt;=5,"Newcomer",
D937&lt;=10,"Proficient",
D937&gt;10,"Expert"
)</f>
        <v>Proficient</v>
      </c>
      <c r="F937" s="2" t="s">
        <v>70</v>
      </c>
      <c r="G937" s="5" t="s">
        <v>47</v>
      </c>
      <c r="H937" s="5" t="s">
        <v>95</v>
      </c>
      <c r="I937" s="2">
        <v>6</v>
      </c>
      <c r="J937" s="2" t="s">
        <v>24</v>
      </c>
      <c r="K937" s="2" t="s">
        <v>25</v>
      </c>
      <c r="L937" s="2" t="s">
        <v>96</v>
      </c>
      <c r="M937" s="4" t="str">
        <f t="shared" si="28"/>
        <v>Involuntary</v>
      </c>
      <c r="N937" s="23" t="s">
        <v>26</v>
      </c>
    </row>
    <row r="938" spans="1:14" x14ac:dyDescent="0.25">
      <c r="A938" s="22">
        <v>4899</v>
      </c>
      <c r="B938" s="3">
        <v>38091</v>
      </c>
      <c r="C938" s="3">
        <v>43880</v>
      </c>
      <c r="D938" s="2">
        <f t="shared" si="29"/>
        <v>16</v>
      </c>
      <c r="E938" s="4" t="str" cm="1">
        <f t="array" ref="E938">_xlfn.IFS(
D938&lt;=5,"Newcomer",
D938&lt;=10,"Proficient",
D938&gt;10,"Expert"
)</f>
        <v>Expert</v>
      </c>
      <c r="F938" s="2" t="s">
        <v>90</v>
      </c>
      <c r="G938" s="5" t="s">
        <v>42</v>
      </c>
      <c r="H938" s="5" t="s">
        <v>105</v>
      </c>
      <c r="I938" s="2">
        <v>26</v>
      </c>
      <c r="J938" s="2" t="s">
        <v>17</v>
      </c>
      <c r="K938" s="2" t="s">
        <v>18</v>
      </c>
      <c r="L938" s="2" t="s">
        <v>96</v>
      </c>
      <c r="M938" s="4" t="str">
        <f t="shared" si="28"/>
        <v>Involuntary</v>
      </c>
      <c r="N938" s="23" t="s">
        <v>26</v>
      </c>
    </row>
    <row r="939" spans="1:14" x14ac:dyDescent="0.25">
      <c r="A939" s="22">
        <v>4901</v>
      </c>
      <c r="B939" s="3">
        <v>35103</v>
      </c>
      <c r="C939" s="3">
        <v>44161</v>
      </c>
      <c r="D939" s="2">
        <f t="shared" si="29"/>
        <v>24</v>
      </c>
      <c r="E939" s="4" t="str" cm="1">
        <f t="array" ref="E939">_xlfn.IFS(
D939&lt;=5,"Newcomer",
D939&lt;=10,"Proficient",
D939&gt;10,"Expert"
)</f>
        <v>Expert</v>
      </c>
      <c r="F939" s="2" t="s">
        <v>14</v>
      </c>
      <c r="G939" s="5" t="s">
        <v>35</v>
      </c>
      <c r="H939" s="5" t="s">
        <v>76</v>
      </c>
      <c r="I939" s="2">
        <v>35</v>
      </c>
      <c r="J939" s="2" t="s">
        <v>17</v>
      </c>
      <c r="K939" s="2" t="s">
        <v>18</v>
      </c>
      <c r="L939" s="2" t="s">
        <v>96</v>
      </c>
      <c r="M939" s="4" t="str">
        <f t="shared" si="28"/>
        <v>Involuntary</v>
      </c>
      <c r="N939" s="23" t="s">
        <v>26</v>
      </c>
    </row>
    <row r="940" spans="1:14" x14ac:dyDescent="0.25">
      <c r="A940" s="22">
        <v>4902</v>
      </c>
      <c r="B940" s="3">
        <v>37919</v>
      </c>
      <c r="C940" s="3">
        <v>44135</v>
      </c>
      <c r="D940" s="2">
        <f t="shared" si="29"/>
        <v>17</v>
      </c>
      <c r="E940" s="4" t="str" cm="1">
        <f t="array" ref="E940">_xlfn.IFS(
D940&lt;=5,"Newcomer",
D940&lt;=10,"Proficient",
D940&gt;10,"Expert"
)</f>
        <v>Expert</v>
      </c>
      <c r="F940" s="2" t="s">
        <v>14</v>
      </c>
      <c r="G940" s="5" t="s">
        <v>35</v>
      </c>
      <c r="H940" s="5" t="s">
        <v>76</v>
      </c>
      <c r="I940" s="2">
        <v>35</v>
      </c>
      <c r="J940" s="2" t="s">
        <v>24</v>
      </c>
      <c r="K940" s="2" t="s">
        <v>25</v>
      </c>
      <c r="L940" s="2" t="s">
        <v>96</v>
      </c>
      <c r="M940" s="4" t="str">
        <f t="shared" si="28"/>
        <v>Involuntary</v>
      </c>
      <c r="N940" s="23" t="s">
        <v>26</v>
      </c>
    </row>
    <row r="941" spans="1:14" x14ac:dyDescent="0.25">
      <c r="A941" s="22">
        <v>4903</v>
      </c>
      <c r="B941" s="3">
        <v>41247</v>
      </c>
      <c r="C941" s="3">
        <v>44034</v>
      </c>
      <c r="D941" s="2">
        <f t="shared" si="29"/>
        <v>8</v>
      </c>
      <c r="E941" s="4" t="str" cm="1">
        <f t="array" ref="E941">_xlfn.IFS(
D941&lt;=5,"Newcomer",
D941&lt;=10,"Proficient",
D941&gt;10,"Expert"
)</f>
        <v>Proficient</v>
      </c>
      <c r="F941" s="2" t="s">
        <v>14</v>
      </c>
      <c r="G941" s="5" t="s">
        <v>35</v>
      </c>
      <c r="H941" s="5" t="s">
        <v>76</v>
      </c>
      <c r="I941" s="2">
        <v>35</v>
      </c>
      <c r="J941" s="2" t="s">
        <v>24</v>
      </c>
      <c r="K941" s="2" t="s">
        <v>25</v>
      </c>
      <c r="L941" s="2" t="s">
        <v>96</v>
      </c>
      <c r="M941" s="4" t="str">
        <f t="shared" si="28"/>
        <v>Involuntary</v>
      </c>
      <c r="N941" s="23" t="s">
        <v>26</v>
      </c>
    </row>
    <row r="942" spans="1:14" x14ac:dyDescent="0.25">
      <c r="A942" s="22">
        <v>4904</v>
      </c>
      <c r="B942" s="3">
        <v>41759</v>
      </c>
      <c r="C942" s="3">
        <v>44185</v>
      </c>
      <c r="D942" s="2">
        <f t="shared" si="29"/>
        <v>6</v>
      </c>
      <c r="E942" s="4" t="str" cm="1">
        <f t="array" ref="E942">_xlfn.IFS(
D942&lt;=5,"Newcomer",
D942&lt;=10,"Proficient",
D942&gt;10,"Expert"
)</f>
        <v>Proficient</v>
      </c>
      <c r="F942" s="2" t="s">
        <v>77</v>
      </c>
      <c r="G942" s="5" t="s">
        <v>42</v>
      </c>
      <c r="H942" s="5" t="s">
        <v>105</v>
      </c>
      <c r="I942" s="2">
        <v>30</v>
      </c>
      <c r="J942" s="2" t="s">
        <v>17</v>
      </c>
      <c r="K942" s="2" t="s">
        <v>18</v>
      </c>
      <c r="L942" s="2" t="s">
        <v>50</v>
      </c>
      <c r="M942" s="4" t="str">
        <f t="shared" si="28"/>
        <v>Voluntary</v>
      </c>
      <c r="N942" s="23" t="s">
        <v>26</v>
      </c>
    </row>
    <row r="943" spans="1:14" x14ac:dyDescent="0.25">
      <c r="A943" s="22">
        <v>4905</v>
      </c>
      <c r="B943" s="3">
        <v>41251</v>
      </c>
      <c r="C943" s="3">
        <v>44129</v>
      </c>
      <c r="D943" s="2">
        <f t="shared" si="29"/>
        <v>8</v>
      </c>
      <c r="E943" s="4" t="str" cm="1">
        <f t="array" ref="E943">_xlfn.IFS(
D943&lt;=5,"Newcomer",
D943&lt;=10,"Proficient",
D943&gt;10,"Expert"
)</f>
        <v>Proficient</v>
      </c>
      <c r="F943" s="2" t="s">
        <v>81</v>
      </c>
      <c r="G943" s="5" t="s">
        <v>42</v>
      </c>
      <c r="H943" s="5" t="s">
        <v>105</v>
      </c>
      <c r="I943" s="2">
        <v>5</v>
      </c>
      <c r="J943" s="2" t="s">
        <v>24</v>
      </c>
      <c r="K943" s="2" t="s">
        <v>25</v>
      </c>
      <c r="L943" s="2" t="s">
        <v>96</v>
      </c>
      <c r="M943" s="4" t="str">
        <f t="shared" si="28"/>
        <v>Involuntary</v>
      </c>
      <c r="N943" s="23" t="s">
        <v>26</v>
      </c>
    </row>
    <row r="944" spans="1:14" x14ac:dyDescent="0.25">
      <c r="A944" s="22">
        <v>4908</v>
      </c>
      <c r="B944" s="3">
        <v>33605</v>
      </c>
      <c r="C944" s="3">
        <v>44047</v>
      </c>
      <c r="D944" s="2">
        <f t="shared" si="29"/>
        <v>28</v>
      </c>
      <c r="E944" s="4" t="str" cm="1">
        <f t="array" ref="E944">_xlfn.IFS(
D944&lt;=5,"Newcomer",
D944&lt;=10,"Proficient",
D944&gt;10,"Expert"
)</f>
        <v>Expert</v>
      </c>
      <c r="F944" s="2" t="s">
        <v>78</v>
      </c>
      <c r="G944" s="5" t="s">
        <v>42</v>
      </c>
      <c r="H944" s="5" t="s">
        <v>105</v>
      </c>
      <c r="I944" s="2">
        <v>21</v>
      </c>
      <c r="J944" s="2" t="s">
        <v>17</v>
      </c>
      <c r="K944" s="2" t="s">
        <v>18</v>
      </c>
      <c r="L944" s="2" t="s">
        <v>96</v>
      </c>
      <c r="M944" s="4" t="str">
        <f t="shared" si="28"/>
        <v>Involuntary</v>
      </c>
      <c r="N944" s="23" t="s">
        <v>26</v>
      </c>
    </row>
    <row r="945" spans="1:14" x14ac:dyDescent="0.25">
      <c r="A945" s="22">
        <v>4910</v>
      </c>
      <c r="B945" s="3">
        <v>40930</v>
      </c>
      <c r="C945" s="3">
        <v>44095</v>
      </c>
      <c r="D945" s="2">
        <f t="shared" si="29"/>
        <v>8</v>
      </c>
      <c r="E945" s="4" t="str" cm="1">
        <f t="array" ref="E945">_xlfn.IFS(
D945&lt;=5,"Newcomer",
D945&lt;=10,"Proficient",
D945&gt;10,"Expert"
)</f>
        <v>Proficient</v>
      </c>
      <c r="F945" s="2" t="s">
        <v>70</v>
      </c>
      <c r="G945" s="5" t="s">
        <v>47</v>
      </c>
      <c r="H945" s="5" t="s">
        <v>95</v>
      </c>
      <c r="I945" s="2">
        <v>6</v>
      </c>
      <c r="J945" s="2" t="s">
        <v>17</v>
      </c>
      <c r="K945" s="2" t="s">
        <v>18</v>
      </c>
      <c r="L945" s="2" t="s">
        <v>96</v>
      </c>
      <c r="M945" s="4" t="str">
        <f t="shared" si="28"/>
        <v>Involuntary</v>
      </c>
      <c r="N945" s="23" t="s">
        <v>26</v>
      </c>
    </row>
    <row r="946" spans="1:14" x14ac:dyDescent="0.25">
      <c r="A946" s="22">
        <v>4911</v>
      </c>
      <c r="B946" s="3">
        <v>37616</v>
      </c>
      <c r="C946" s="3">
        <v>44139</v>
      </c>
      <c r="D946" s="2">
        <f t="shared" si="29"/>
        <v>18</v>
      </c>
      <c r="E946" s="4" t="str" cm="1">
        <f t="array" ref="E946">_xlfn.IFS(
D946&lt;=5,"Newcomer",
D946&lt;=10,"Proficient",
D946&gt;10,"Expert"
)</f>
        <v>Expert</v>
      </c>
      <c r="F946" s="2" t="s">
        <v>78</v>
      </c>
      <c r="G946" s="5" t="s">
        <v>42</v>
      </c>
      <c r="H946" s="5" t="s">
        <v>105</v>
      </c>
      <c r="I946" s="2">
        <v>21</v>
      </c>
      <c r="J946" s="2" t="s">
        <v>17</v>
      </c>
      <c r="K946" s="2" t="s">
        <v>18</v>
      </c>
      <c r="L946" s="2" t="s">
        <v>96</v>
      </c>
      <c r="M946" s="4" t="str">
        <f t="shared" si="28"/>
        <v>Involuntary</v>
      </c>
      <c r="N946" s="23" t="s">
        <v>26</v>
      </c>
    </row>
    <row r="947" spans="1:14" x14ac:dyDescent="0.25">
      <c r="A947" s="22">
        <v>4912</v>
      </c>
      <c r="B947" s="3">
        <v>35115</v>
      </c>
      <c r="C947" s="3">
        <v>43950</v>
      </c>
      <c r="D947" s="2">
        <f t="shared" si="29"/>
        <v>24</v>
      </c>
      <c r="E947" s="4" t="str" cm="1">
        <f t="array" ref="E947">_xlfn.IFS(
D947&lt;=5,"Newcomer",
D947&lt;=10,"Proficient",
D947&gt;10,"Expert"
)</f>
        <v>Expert</v>
      </c>
      <c r="F947" s="2" t="s">
        <v>41</v>
      </c>
      <c r="G947" s="5" t="s">
        <v>47</v>
      </c>
      <c r="H947" s="5" t="s">
        <v>95</v>
      </c>
      <c r="I947" s="2">
        <v>15</v>
      </c>
      <c r="J947" s="2" t="s">
        <v>17</v>
      </c>
      <c r="K947" s="2" t="s">
        <v>18</v>
      </c>
      <c r="L947" s="2" t="s">
        <v>96</v>
      </c>
      <c r="M947" s="4" t="str">
        <f t="shared" si="28"/>
        <v>Involuntary</v>
      </c>
      <c r="N947" s="23" t="s">
        <v>26</v>
      </c>
    </row>
    <row r="948" spans="1:14" x14ac:dyDescent="0.25">
      <c r="A948" s="22">
        <v>4913</v>
      </c>
      <c r="B948" s="3">
        <v>41394</v>
      </c>
      <c r="C948" s="3">
        <v>44019</v>
      </c>
      <c r="D948" s="2">
        <f t="shared" si="29"/>
        <v>7</v>
      </c>
      <c r="E948" s="4" t="str" cm="1">
        <f t="array" ref="E948">_xlfn.IFS(
D948&lt;=5,"Newcomer",
D948&lt;=10,"Proficient",
D948&gt;10,"Expert"
)</f>
        <v>Proficient</v>
      </c>
      <c r="F948" s="2" t="s">
        <v>14</v>
      </c>
      <c r="G948" s="5" t="s">
        <v>35</v>
      </c>
      <c r="H948" s="5" t="s">
        <v>76</v>
      </c>
      <c r="I948" s="2">
        <v>35</v>
      </c>
      <c r="J948" s="2" t="s">
        <v>24</v>
      </c>
      <c r="K948" s="2" t="s">
        <v>25</v>
      </c>
      <c r="L948" s="2" t="s">
        <v>96</v>
      </c>
      <c r="M948" s="4" t="str">
        <f t="shared" si="28"/>
        <v>Involuntary</v>
      </c>
      <c r="N948" s="23" t="s">
        <v>26</v>
      </c>
    </row>
    <row r="949" spans="1:14" x14ac:dyDescent="0.25">
      <c r="A949" s="22">
        <v>4914</v>
      </c>
      <c r="B949" s="3">
        <v>34557</v>
      </c>
      <c r="C949" s="3">
        <v>44190</v>
      </c>
      <c r="D949" s="2">
        <f t="shared" si="29"/>
        <v>26</v>
      </c>
      <c r="E949" s="4" t="str" cm="1">
        <f t="array" ref="E949">_xlfn.IFS(
D949&lt;=5,"Newcomer",
D949&lt;=10,"Proficient",
D949&gt;10,"Expert"
)</f>
        <v>Expert</v>
      </c>
      <c r="F949" s="2" t="s">
        <v>14</v>
      </c>
      <c r="G949" s="5" t="s">
        <v>67</v>
      </c>
      <c r="H949" s="5" t="s">
        <v>113</v>
      </c>
      <c r="I949" s="2">
        <v>42</v>
      </c>
      <c r="J949" s="2" t="s">
        <v>24</v>
      </c>
      <c r="K949" s="2" t="s">
        <v>25</v>
      </c>
      <c r="L949" s="2" t="s">
        <v>50</v>
      </c>
      <c r="M949" s="4" t="str">
        <f t="shared" si="28"/>
        <v>Voluntary</v>
      </c>
      <c r="N949" s="23" t="s">
        <v>26</v>
      </c>
    </row>
    <row r="950" spans="1:14" x14ac:dyDescent="0.25">
      <c r="A950" s="22">
        <v>4915</v>
      </c>
      <c r="B950" s="3">
        <v>39107</v>
      </c>
      <c r="C950" s="3">
        <v>43851</v>
      </c>
      <c r="D950" s="2">
        <f t="shared" si="29"/>
        <v>13</v>
      </c>
      <c r="E950" s="4" t="str" cm="1">
        <f t="array" ref="E950">_xlfn.IFS(
D950&lt;=5,"Newcomer",
D950&lt;=10,"Proficient",
D950&gt;10,"Expert"
)</f>
        <v>Expert</v>
      </c>
      <c r="F950" s="2" t="s">
        <v>109</v>
      </c>
      <c r="G950" s="5" t="s">
        <v>42</v>
      </c>
      <c r="H950" s="5" t="s">
        <v>105</v>
      </c>
      <c r="I950" s="2">
        <v>22</v>
      </c>
      <c r="J950" s="2" t="s">
        <v>24</v>
      </c>
      <c r="K950" s="2" t="s">
        <v>25</v>
      </c>
      <c r="L950" s="2" t="s">
        <v>96</v>
      </c>
      <c r="M950" s="4" t="str">
        <f t="shared" si="28"/>
        <v>Involuntary</v>
      </c>
      <c r="N950" s="23" t="s">
        <v>26</v>
      </c>
    </row>
    <row r="951" spans="1:14" x14ac:dyDescent="0.25">
      <c r="A951" s="22">
        <v>4916</v>
      </c>
      <c r="B951" s="3">
        <v>40049</v>
      </c>
      <c r="C951" s="3">
        <v>43986</v>
      </c>
      <c r="D951" s="2">
        <f t="shared" si="29"/>
        <v>11</v>
      </c>
      <c r="E951" s="4" t="str" cm="1">
        <f t="array" ref="E951">_xlfn.IFS(
D951&lt;=5,"Newcomer",
D951&lt;=10,"Proficient",
D951&gt;10,"Expert"
)</f>
        <v>Expert</v>
      </c>
      <c r="F951" s="2" t="s">
        <v>77</v>
      </c>
      <c r="G951" s="5" t="s">
        <v>42</v>
      </c>
      <c r="H951" s="5" t="s">
        <v>105</v>
      </c>
      <c r="I951" s="2">
        <v>30</v>
      </c>
      <c r="J951" s="2" t="s">
        <v>17</v>
      </c>
      <c r="K951" s="2" t="s">
        <v>18</v>
      </c>
      <c r="L951" s="2" t="s">
        <v>96</v>
      </c>
      <c r="M951" s="4" t="str">
        <f t="shared" si="28"/>
        <v>Involuntary</v>
      </c>
      <c r="N951" s="23" t="s">
        <v>26</v>
      </c>
    </row>
    <row r="952" spans="1:14" x14ac:dyDescent="0.25">
      <c r="A952" s="22">
        <v>4918</v>
      </c>
      <c r="B952" s="3">
        <v>36111</v>
      </c>
      <c r="C952" s="3">
        <v>44072</v>
      </c>
      <c r="D952" s="2">
        <f t="shared" si="29"/>
        <v>22</v>
      </c>
      <c r="E952" s="4" t="str" cm="1">
        <f t="array" ref="E952">_xlfn.IFS(
D952&lt;=5,"Newcomer",
D952&lt;=10,"Proficient",
D952&gt;10,"Expert"
)</f>
        <v>Expert</v>
      </c>
      <c r="F952" s="2" t="s">
        <v>30</v>
      </c>
      <c r="G952" s="5" t="s">
        <v>42</v>
      </c>
      <c r="H952" s="5" t="s">
        <v>105</v>
      </c>
      <c r="I952" s="2">
        <v>37</v>
      </c>
      <c r="J952" s="2" t="s">
        <v>17</v>
      </c>
      <c r="K952" s="2" t="s">
        <v>18</v>
      </c>
      <c r="L952" s="2" t="s">
        <v>96</v>
      </c>
      <c r="M952" s="4" t="str">
        <f t="shared" si="28"/>
        <v>Involuntary</v>
      </c>
      <c r="N952" s="23" t="s">
        <v>26</v>
      </c>
    </row>
    <row r="953" spans="1:14" x14ac:dyDescent="0.25">
      <c r="A953" s="22">
        <v>4920</v>
      </c>
      <c r="B953" s="3">
        <v>38533</v>
      </c>
      <c r="C953" s="3">
        <v>43860</v>
      </c>
      <c r="D953" s="2">
        <f t="shared" si="29"/>
        <v>15</v>
      </c>
      <c r="E953" s="4" t="str" cm="1">
        <f t="array" ref="E953">_xlfn.IFS(
D953&lt;=5,"Newcomer",
D953&lt;=10,"Proficient",
D953&gt;10,"Expert"
)</f>
        <v>Expert</v>
      </c>
      <c r="F953" s="2" t="s">
        <v>44</v>
      </c>
      <c r="G953" s="5" t="s">
        <v>42</v>
      </c>
      <c r="H953" s="5" t="s">
        <v>105</v>
      </c>
      <c r="I953" s="2">
        <v>18</v>
      </c>
      <c r="J953" s="2" t="s">
        <v>17</v>
      </c>
      <c r="K953" s="2" t="s">
        <v>18</v>
      </c>
      <c r="L953" s="2" t="s">
        <v>96</v>
      </c>
      <c r="M953" s="4" t="str">
        <f t="shared" si="28"/>
        <v>Involuntary</v>
      </c>
      <c r="N953" s="23" t="s">
        <v>26</v>
      </c>
    </row>
    <row r="954" spans="1:14" x14ac:dyDescent="0.25">
      <c r="A954" s="22">
        <v>4921</v>
      </c>
      <c r="B954" s="3">
        <v>33369</v>
      </c>
      <c r="C954" s="3">
        <v>44072</v>
      </c>
      <c r="D954" s="2">
        <f t="shared" si="29"/>
        <v>29</v>
      </c>
      <c r="E954" s="4" t="str" cm="1">
        <f t="array" ref="E954">_xlfn.IFS(
D954&lt;=5,"Newcomer",
D954&lt;=10,"Proficient",
D954&gt;10,"Expert"
)</f>
        <v>Expert</v>
      </c>
      <c r="F954" s="2" t="s">
        <v>14</v>
      </c>
      <c r="G954" s="5" t="s">
        <v>35</v>
      </c>
      <c r="H954" s="5" t="s">
        <v>76</v>
      </c>
      <c r="I954" s="2">
        <v>35</v>
      </c>
      <c r="J954" s="2" t="s">
        <v>24</v>
      </c>
      <c r="K954" s="2" t="s">
        <v>25</v>
      </c>
      <c r="L954" s="2" t="s">
        <v>96</v>
      </c>
      <c r="M954" s="4" t="str">
        <f t="shared" si="28"/>
        <v>Involuntary</v>
      </c>
      <c r="N954" s="23" t="s">
        <v>26</v>
      </c>
    </row>
    <row r="955" spans="1:14" x14ac:dyDescent="0.25">
      <c r="A955" s="22">
        <v>4924</v>
      </c>
      <c r="B955" s="3">
        <v>35751</v>
      </c>
      <c r="C955" s="3">
        <v>44113</v>
      </c>
      <c r="D955" s="2">
        <f t="shared" si="29"/>
        <v>23</v>
      </c>
      <c r="E955" s="4" t="str" cm="1">
        <f t="array" ref="E955">_xlfn.IFS(
D955&lt;=5,"Newcomer",
D955&lt;=10,"Proficient",
D955&gt;10,"Expert"
)</f>
        <v>Expert</v>
      </c>
      <c r="F955" s="2" t="s">
        <v>115</v>
      </c>
      <c r="G955" s="5" t="s">
        <v>42</v>
      </c>
      <c r="H955" s="5" t="s">
        <v>105</v>
      </c>
      <c r="I955" s="2">
        <v>17</v>
      </c>
      <c r="J955" s="2" t="s">
        <v>17</v>
      </c>
      <c r="K955" s="2" t="s">
        <v>18</v>
      </c>
      <c r="L955" s="2" t="s">
        <v>96</v>
      </c>
      <c r="M955" s="4" t="str">
        <f t="shared" si="28"/>
        <v>Involuntary</v>
      </c>
      <c r="N955" s="23" t="s">
        <v>26</v>
      </c>
    </row>
    <row r="956" spans="1:14" x14ac:dyDescent="0.25">
      <c r="A956" s="22">
        <v>4926</v>
      </c>
      <c r="B956" s="3">
        <v>36596</v>
      </c>
      <c r="C956" s="3">
        <v>43937</v>
      </c>
      <c r="D956" s="2">
        <f t="shared" si="29"/>
        <v>20</v>
      </c>
      <c r="E956" s="4" t="str" cm="1">
        <f t="array" ref="E956">_xlfn.IFS(
D956&lt;=5,"Newcomer",
D956&lt;=10,"Proficient",
D956&gt;10,"Expert"
)</f>
        <v>Expert</v>
      </c>
      <c r="F956" s="2" t="s">
        <v>30</v>
      </c>
      <c r="G956" s="5" t="s">
        <v>42</v>
      </c>
      <c r="H956" s="5" t="s">
        <v>105</v>
      </c>
      <c r="I956" s="2">
        <v>37</v>
      </c>
      <c r="J956" s="2" t="s">
        <v>17</v>
      </c>
      <c r="K956" s="2" t="s">
        <v>18</v>
      </c>
      <c r="L956" s="2" t="s">
        <v>96</v>
      </c>
      <c r="M956" s="4" t="str">
        <f t="shared" si="28"/>
        <v>Involuntary</v>
      </c>
      <c r="N956" s="23" t="s">
        <v>26</v>
      </c>
    </row>
    <row r="957" spans="1:14" x14ac:dyDescent="0.25">
      <c r="A957" s="22">
        <v>4929</v>
      </c>
      <c r="B957" s="3">
        <v>38367</v>
      </c>
      <c r="C957" s="3">
        <v>43977</v>
      </c>
      <c r="D957" s="2">
        <f t="shared" si="29"/>
        <v>15</v>
      </c>
      <c r="E957" s="4" t="str" cm="1">
        <f t="array" ref="E957">_xlfn.IFS(
D957&lt;=5,"Newcomer",
D957&lt;=10,"Proficient",
D957&gt;10,"Expert"
)</f>
        <v>Expert</v>
      </c>
      <c r="F957" s="2" t="s">
        <v>78</v>
      </c>
      <c r="G957" s="5" t="s">
        <v>42</v>
      </c>
      <c r="H957" s="5" t="s">
        <v>105</v>
      </c>
      <c r="I957" s="2">
        <v>21</v>
      </c>
      <c r="J957" s="2" t="s">
        <v>17</v>
      </c>
      <c r="K957" s="2" t="s">
        <v>18</v>
      </c>
      <c r="L957" s="2" t="s">
        <v>96</v>
      </c>
      <c r="M957" s="4" t="str">
        <f t="shared" si="28"/>
        <v>Involuntary</v>
      </c>
      <c r="N957" s="23" t="s">
        <v>26</v>
      </c>
    </row>
    <row r="958" spans="1:14" x14ac:dyDescent="0.25">
      <c r="A958" s="22">
        <v>4932</v>
      </c>
      <c r="B958" s="3">
        <v>41108</v>
      </c>
      <c r="C958" s="3">
        <v>43902</v>
      </c>
      <c r="D958" s="2">
        <f t="shared" si="29"/>
        <v>8</v>
      </c>
      <c r="E958" s="4" t="str" cm="1">
        <f t="array" ref="E958">_xlfn.IFS(
D958&lt;=5,"Newcomer",
D958&lt;=10,"Proficient",
D958&gt;10,"Expert"
)</f>
        <v>Proficient</v>
      </c>
      <c r="F958" s="2" t="s">
        <v>44</v>
      </c>
      <c r="G958" s="5" t="s">
        <v>47</v>
      </c>
      <c r="H958" s="5" t="s">
        <v>95</v>
      </c>
      <c r="I958" s="2">
        <v>18</v>
      </c>
      <c r="J958" s="2" t="s">
        <v>24</v>
      </c>
      <c r="K958" s="2" t="s">
        <v>25</v>
      </c>
      <c r="L958" s="2" t="s">
        <v>50</v>
      </c>
      <c r="M958" s="4" t="str">
        <f t="shared" si="28"/>
        <v>Voluntary</v>
      </c>
      <c r="N958" s="23" t="s">
        <v>26</v>
      </c>
    </row>
    <row r="959" spans="1:14" x14ac:dyDescent="0.25">
      <c r="A959" s="22">
        <v>4941</v>
      </c>
      <c r="B959" s="3">
        <v>41186</v>
      </c>
      <c r="C959" s="3">
        <v>44110</v>
      </c>
      <c r="D959" s="2">
        <f t="shared" si="29"/>
        <v>8</v>
      </c>
      <c r="E959" s="4" t="str" cm="1">
        <f t="array" ref="E959">_xlfn.IFS(
D959&lt;=5,"Newcomer",
D959&lt;=10,"Proficient",
D959&gt;10,"Expert"
)</f>
        <v>Proficient</v>
      </c>
      <c r="F959" s="2" t="s">
        <v>41</v>
      </c>
      <c r="G959" s="5" t="s">
        <v>47</v>
      </c>
      <c r="H959" s="5" t="s">
        <v>95</v>
      </c>
      <c r="I959" s="2">
        <v>15</v>
      </c>
      <c r="J959" s="2" t="s">
        <v>17</v>
      </c>
      <c r="K959" s="2" t="s">
        <v>18</v>
      </c>
      <c r="L959" s="2" t="s">
        <v>96</v>
      </c>
      <c r="M959" s="4" t="str">
        <f t="shared" si="28"/>
        <v>Involuntary</v>
      </c>
      <c r="N959" s="23" t="s">
        <v>26</v>
      </c>
    </row>
    <row r="960" spans="1:14" x14ac:dyDescent="0.25">
      <c r="A960" s="22">
        <v>4942</v>
      </c>
      <c r="B960" s="3">
        <v>38327</v>
      </c>
      <c r="C960" s="3">
        <v>44034</v>
      </c>
      <c r="D960" s="2">
        <f t="shared" si="29"/>
        <v>16</v>
      </c>
      <c r="E960" s="4" t="str" cm="1">
        <f t="array" ref="E960">_xlfn.IFS(
D960&lt;=5,"Newcomer",
D960&lt;=10,"Proficient",
D960&gt;10,"Expert"
)</f>
        <v>Expert</v>
      </c>
      <c r="F960" s="2" t="s">
        <v>27</v>
      </c>
      <c r="G960" s="5" t="s">
        <v>47</v>
      </c>
      <c r="H960" s="5" t="s">
        <v>95</v>
      </c>
      <c r="I960" s="2">
        <v>16</v>
      </c>
      <c r="J960" s="2" t="s">
        <v>24</v>
      </c>
      <c r="K960" s="2" t="s">
        <v>25</v>
      </c>
      <c r="L960" s="2" t="s">
        <v>50</v>
      </c>
      <c r="M960" s="4" t="str">
        <f t="shared" si="28"/>
        <v>Voluntary</v>
      </c>
      <c r="N960" s="23" t="s">
        <v>26</v>
      </c>
    </row>
    <row r="961" spans="1:14" x14ac:dyDescent="0.25">
      <c r="A961" s="22">
        <v>4948</v>
      </c>
      <c r="B961" s="3">
        <v>35626</v>
      </c>
      <c r="C961" s="3">
        <v>44155</v>
      </c>
      <c r="D961" s="2">
        <f t="shared" si="29"/>
        <v>23</v>
      </c>
      <c r="E961" s="4" t="str" cm="1">
        <f t="array" ref="E961">_xlfn.IFS(
D961&lt;=5,"Newcomer",
D961&lt;=10,"Proficient",
D961&gt;10,"Expert"
)</f>
        <v>Expert</v>
      </c>
      <c r="F961" s="2" t="s">
        <v>81</v>
      </c>
      <c r="G961" s="5" t="s">
        <v>42</v>
      </c>
      <c r="H961" s="5" t="s">
        <v>105</v>
      </c>
      <c r="I961" s="2">
        <v>5</v>
      </c>
      <c r="J961" s="2" t="s">
        <v>24</v>
      </c>
      <c r="K961" s="2" t="s">
        <v>25</v>
      </c>
      <c r="L961" s="2" t="s">
        <v>96</v>
      </c>
      <c r="M961" s="4" t="str">
        <f t="shared" si="28"/>
        <v>Involuntary</v>
      </c>
      <c r="N961" s="23" t="s">
        <v>26</v>
      </c>
    </row>
    <row r="962" spans="1:14" x14ac:dyDescent="0.25">
      <c r="A962" s="22">
        <v>4949</v>
      </c>
      <c r="B962" s="3">
        <v>37036</v>
      </c>
      <c r="C962" s="3">
        <v>44164</v>
      </c>
      <c r="D962" s="2">
        <f t="shared" si="29"/>
        <v>19</v>
      </c>
      <c r="E962" s="4" t="str" cm="1">
        <f t="array" ref="E962">_xlfn.IFS(
D962&lt;=5,"Newcomer",
D962&lt;=10,"Proficient",
D962&gt;10,"Expert"
)</f>
        <v>Expert</v>
      </c>
      <c r="F962" s="2" t="s">
        <v>81</v>
      </c>
      <c r="G962" s="5" t="s">
        <v>42</v>
      </c>
      <c r="H962" s="5" t="s">
        <v>105</v>
      </c>
      <c r="I962" s="2">
        <v>5</v>
      </c>
      <c r="J962" s="2" t="s">
        <v>24</v>
      </c>
      <c r="K962" s="2" t="s">
        <v>25</v>
      </c>
      <c r="L962" s="2" t="s">
        <v>96</v>
      </c>
      <c r="M962" s="4" t="str">
        <f t="shared" ref="M962:M1025" si="30">IF(OR(L962="Retirement",L962="Resignation"),"Voluntary","Involuntary")</f>
        <v>Involuntary</v>
      </c>
      <c r="N962" s="23" t="s">
        <v>26</v>
      </c>
    </row>
    <row r="963" spans="1:14" x14ac:dyDescent="0.25">
      <c r="A963" s="22">
        <v>4950</v>
      </c>
      <c r="B963" s="3">
        <v>39244</v>
      </c>
      <c r="C963" s="3">
        <v>44195</v>
      </c>
      <c r="D963" s="2">
        <f t="shared" ref="D963:D1026" si="31">YEAR(C963)-YEAR(B963)</f>
        <v>13</v>
      </c>
      <c r="E963" s="4" t="str" cm="1">
        <f t="array" ref="E963">_xlfn.IFS(
D963&lt;=5,"Newcomer",
D963&lt;=10,"Proficient",
D963&gt;10,"Expert"
)</f>
        <v>Expert</v>
      </c>
      <c r="F963" s="2" t="s">
        <v>81</v>
      </c>
      <c r="G963" s="5" t="s">
        <v>42</v>
      </c>
      <c r="H963" s="5" t="s">
        <v>105</v>
      </c>
      <c r="I963" s="2">
        <v>5</v>
      </c>
      <c r="J963" s="2" t="s">
        <v>24</v>
      </c>
      <c r="K963" s="2" t="s">
        <v>25</v>
      </c>
      <c r="L963" s="2" t="s">
        <v>96</v>
      </c>
      <c r="M963" s="4" t="str">
        <f t="shared" si="30"/>
        <v>Involuntary</v>
      </c>
      <c r="N963" s="23" t="s">
        <v>26</v>
      </c>
    </row>
    <row r="964" spans="1:14" x14ac:dyDescent="0.25">
      <c r="A964" s="22">
        <v>4951</v>
      </c>
      <c r="B964" s="3">
        <v>41096</v>
      </c>
      <c r="C964" s="3">
        <v>44124</v>
      </c>
      <c r="D964" s="2">
        <f t="shared" si="31"/>
        <v>8</v>
      </c>
      <c r="E964" s="4" t="str" cm="1">
        <f t="array" ref="E964">_xlfn.IFS(
D964&lt;=5,"Newcomer",
D964&lt;=10,"Proficient",
D964&gt;10,"Expert"
)</f>
        <v>Proficient</v>
      </c>
      <c r="F964" s="2" t="s">
        <v>69</v>
      </c>
      <c r="G964" s="5" t="s">
        <v>42</v>
      </c>
      <c r="H964" s="5" t="s">
        <v>105</v>
      </c>
      <c r="I964" s="2">
        <v>28</v>
      </c>
      <c r="J964" s="2" t="s">
        <v>17</v>
      </c>
      <c r="K964" s="2" t="s">
        <v>18</v>
      </c>
      <c r="L964" s="2" t="s">
        <v>96</v>
      </c>
      <c r="M964" s="4" t="str">
        <f t="shared" si="30"/>
        <v>Involuntary</v>
      </c>
      <c r="N964" s="23" t="s">
        <v>26</v>
      </c>
    </row>
    <row r="965" spans="1:14" x14ac:dyDescent="0.25">
      <c r="A965" s="22">
        <v>4953</v>
      </c>
      <c r="B965" s="3">
        <v>39894</v>
      </c>
      <c r="C965" s="3">
        <v>43989</v>
      </c>
      <c r="D965" s="2">
        <f t="shared" si="31"/>
        <v>11</v>
      </c>
      <c r="E965" s="4" t="str" cm="1">
        <f t="array" ref="E965">_xlfn.IFS(
D965&lt;=5,"Newcomer",
D965&lt;=10,"Proficient",
D965&gt;10,"Expert"
)</f>
        <v>Expert</v>
      </c>
      <c r="F965" s="2" t="s">
        <v>101</v>
      </c>
      <c r="G965" s="5" t="s">
        <v>42</v>
      </c>
      <c r="H965" s="5" t="s">
        <v>105</v>
      </c>
      <c r="I965" s="2">
        <v>38</v>
      </c>
      <c r="J965" s="2" t="s">
        <v>24</v>
      </c>
      <c r="K965" s="2" t="s">
        <v>25</v>
      </c>
      <c r="L965" s="2" t="s">
        <v>96</v>
      </c>
      <c r="M965" s="4" t="str">
        <f t="shared" si="30"/>
        <v>Involuntary</v>
      </c>
      <c r="N965" s="23" t="s">
        <v>26</v>
      </c>
    </row>
    <row r="966" spans="1:14" x14ac:dyDescent="0.25">
      <c r="A966" s="22">
        <v>4955</v>
      </c>
      <c r="B966" s="3">
        <v>37737</v>
      </c>
      <c r="C966" s="3">
        <v>44050</v>
      </c>
      <c r="D966" s="2">
        <f t="shared" si="31"/>
        <v>17</v>
      </c>
      <c r="E966" s="4" t="str" cm="1">
        <f t="array" ref="E966">_xlfn.IFS(
D966&lt;=5,"Newcomer",
D966&lt;=10,"Proficient",
D966&gt;10,"Expert"
)</f>
        <v>Expert</v>
      </c>
      <c r="F966" s="2" t="s">
        <v>30</v>
      </c>
      <c r="G966" s="5" t="s">
        <v>42</v>
      </c>
      <c r="H966" s="5" t="s">
        <v>105</v>
      </c>
      <c r="I966" s="2">
        <v>37</v>
      </c>
      <c r="J966" s="2" t="s">
        <v>17</v>
      </c>
      <c r="K966" s="2" t="s">
        <v>18</v>
      </c>
      <c r="L966" s="2" t="s">
        <v>96</v>
      </c>
      <c r="M966" s="4" t="str">
        <f t="shared" si="30"/>
        <v>Involuntary</v>
      </c>
      <c r="N966" s="23" t="s">
        <v>26</v>
      </c>
    </row>
    <row r="967" spans="1:14" x14ac:dyDescent="0.25">
      <c r="A967" s="22">
        <v>4958</v>
      </c>
      <c r="B967" s="3">
        <v>40926</v>
      </c>
      <c r="C967" s="3">
        <v>44081</v>
      </c>
      <c r="D967" s="2">
        <f t="shared" si="31"/>
        <v>8</v>
      </c>
      <c r="E967" s="4" t="str" cm="1">
        <f t="array" ref="E967">_xlfn.IFS(
D967&lt;=5,"Newcomer",
D967&lt;=10,"Proficient",
D967&gt;10,"Expert"
)</f>
        <v>Proficient</v>
      </c>
      <c r="F967" s="2" t="s">
        <v>78</v>
      </c>
      <c r="G967" s="5" t="s">
        <v>42</v>
      </c>
      <c r="H967" s="5" t="s">
        <v>105</v>
      </c>
      <c r="I967" s="2">
        <v>21</v>
      </c>
      <c r="J967" s="2" t="s">
        <v>24</v>
      </c>
      <c r="K967" s="2" t="s">
        <v>25</v>
      </c>
      <c r="L967" s="2" t="s">
        <v>96</v>
      </c>
      <c r="M967" s="4" t="str">
        <f t="shared" si="30"/>
        <v>Involuntary</v>
      </c>
      <c r="N967" s="23" t="s">
        <v>26</v>
      </c>
    </row>
    <row r="968" spans="1:14" x14ac:dyDescent="0.25">
      <c r="A968" s="22">
        <v>4960</v>
      </c>
      <c r="B968" s="3">
        <v>38228</v>
      </c>
      <c r="C968" s="3">
        <v>44131</v>
      </c>
      <c r="D968" s="2">
        <f t="shared" si="31"/>
        <v>16</v>
      </c>
      <c r="E968" s="4" t="str" cm="1">
        <f t="array" ref="E968">_xlfn.IFS(
D968&lt;=5,"Newcomer",
D968&lt;=10,"Proficient",
D968&gt;10,"Expert"
)</f>
        <v>Expert</v>
      </c>
      <c r="F968" s="2" t="s">
        <v>14</v>
      </c>
      <c r="G968" s="5" t="s">
        <v>35</v>
      </c>
      <c r="H968" s="5" t="s">
        <v>76</v>
      </c>
      <c r="I968" s="2">
        <v>35</v>
      </c>
      <c r="J968" s="2" t="s">
        <v>17</v>
      </c>
      <c r="K968" s="2" t="s">
        <v>18</v>
      </c>
      <c r="L968" s="2" t="s">
        <v>96</v>
      </c>
      <c r="M968" s="4" t="str">
        <f t="shared" si="30"/>
        <v>Involuntary</v>
      </c>
      <c r="N968" s="23" t="s">
        <v>26</v>
      </c>
    </row>
    <row r="969" spans="1:14" x14ac:dyDescent="0.25">
      <c r="A969" s="22">
        <v>4964</v>
      </c>
      <c r="B969" s="3">
        <v>35699</v>
      </c>
      <c r="C969" s="3">
        <v>43945</v>
      </c>
      <c r="D969" s="2">
        <f t="shared" si="31"/>
        <v>23</v>
      </c>
      <c r="E969" s="4" t="str" cm="1">
        <f t="array" ref="E969">_xlfn.IFS(
D969&lt;=5,"Newcomer",
D969&lt;=10,"Proficient",
D969&gt;10,"Expert"
)</f>
        <v>Expert</v>
      </c>
      <c r="F969" s="2" t="s">
        <v>14</v>
      </c>
      <c r="G969" s="5" t="s">
        <v>35</v>
      </c>
      <c r="H969" s="5" t="s">
        <v>76</v>
      </c>
      <c r="I969" s="2">
        <v>35</v>
      </c>
      <c r="J969" s="2" t="s">
        <v>17</v>
      </c>
      <c r="K969" s="2" t="s">
        <v>18</v>
      </c>
      <c r="L969" s="2" t="s">
        <v>96</v>
      </c>
      <c r="M969" s="4" t="str">
        <f t="shared" si="30"/>
        <v>Involuntary</v>
      </c>
      <c r="N969" s="23" t="s">
        <v>26</v>
      </c>
    </row>
    <row r="970" spans="1:14" x14ac:dyDescent="0.25">
      <c r="A970" s="22">
        <v>4965</v>
      </c>
      <c r="B970" s="3">
        <v>36621</v>
      </c>
      <c r="C970" s="3">
        <v>43965</v>
      </c>
      <c r="D970" s="2">
        <f t="shared" si="31"/>
        <v>20</v>
      </c>
      <c r="E970" s="4" t="str" cm="1">
        <f t="array" ref="E970">_xlfn.IFS(
D970&lt;=5,"Newcomer",
D970&lt;=10,"Proficient",
D970&gt;10,"Expert"
)</f>
        <v>Expert</v>
      </c>
      <c r="F970" s="2" t="s">
        <v>86</v>
      </c>
      <c r="G970" s="5" t="s">
        <v>42</v>
      </c>
      <c r="H970" s="5" t="s">
        <v>105</v>
      </c>
      <c r="I970" s="2">
        <v>8</v>
      </c>
      <c r="J970" s="2" t="s">
        <v>24</v>
      </c>
      <c r="K970" s="2" t="s">
        <v>25</v>
      </c>
      <c r="L970" s="2" t="s">
        <v>96</v>
      </c>
      <c r="M970" s="4" t="str">
        <f t="shared" si="30"/>
        <v>Involuntary</v>
      </c>
      <c r="N970" s="23" t="s">
        <v>26</v>
      </c>
    </row>
    <row r="971" spans="1:14" x14ac:dyDescent="0.25">
      <c r="A971" s="22">
        <v>4972</v>
      </c>
      <c r="B971" s="3">
        <v>38134</v>
      </c>
      <c r="C971" s="3">
        <v>44024</v>
      </c>
      <c r="D971" s="2">
        <f t="shared" si="31"/>
        <v>16</v>
      </c>
      <c r="E971" s="4" t="str" cm="1">
        <f t="array" ref="E971">_xlfn.IFS(
D971&lt;=5,"Newcomer",
D971&lt;=10,"Proficient",
D971&gt;10,"Expert"
)</f>
        <v>Expert</v>
      </c>
      <c r="F971" s="2" t="s">
        <v>14</v>
      </c>
      <c r="G971" s="5" t="s">
        <v>35</v>
      </c>
      <c r="H971" s="5" t="s">
        <v>76</v>
      </c>
      <c r="I971" s="2">
        <v>35</v>
      </c>
      <c r="J971" s="2" t="s">
        <v>24</v>
      </c>
      <c r="K971" s="2" t="s">
        <v>25</v>
      </c>
      <c r="L971" s="2" t="s">
        <v>96</v>
      </c>
      <c r="M971" s="4" t="str">
        <f t="shared" si="30"/>
        <v>Involuntary</v>
      </c>
      <c r="N971" s="23" t="s">
        <v>26</v>
      </c>
    </row>
    <row r="972" spans="1:14" x14ac:dyDescent="0.25">
      <c r="A972" s="22">
        <v>4974</v>
      </c>
      <c r="B972" s="3">
        <v>42132</v>
      </c>
      <c r="C972" s="3">
        <v>44018</v>
      </c>
      <c r="D972" s="2">
        <f t="shared" si="31"/>
        <v>5</v>
      </c>
      <c r="E972" s="4" t="str" cm="1">
        <f t="array" ref="E972">_xlfn.IFS(
D972&lt;=5,"Newcomer",
D972&lt;=10,"Proficient",
D972&gt;10,"Expert"
)</f>
        <v>Newcomer</v>
      </c>
      <c r="F972" s="2" t="s">
        <v>41</v>
      </c>
      <c r="G972" s="5" t="s">
        <v>47</v>
      </c>
      <c r="H972" s="5" t="s">
        <v>95</v>
      </c>
      <c r="I972" s="2">
        <v>15</v>
      </c>
      <c r="J972" s="2" t="s">
        <v>24</v>
      </c>
      <c r="K972" s="2" t="s">
        <v>25</v>
      </c>
      <c r="L972" s="2" t="s">
        <v>96</v>
      </c>
      <c r="M972" s="4" t="str">
        <f t="shared" si="30"/>
        <v>Involuntary</v>
      </c>
      <c r="N972" s="23" t="s">
        <v>26</v>
      </c>
    </row>
    <row r="973" spans="1:14" x14ac:dyDescent="0.25">
      <c r="A973" s="22">
        <v>4975</v>
      </c>
      <c r="B973" s="3">
        <v>42115</v>
      </c>
      <c r="C973" s="3">
        <v>43889</v>
      </c>
      <c r="D973" s="2">
        <f t="shared" si="31"/>
        <v>5</v>
      </c>
      <c r="E973" s="4" t="str" cm="1">
        <f t="array" ref="E973">_xlfn.IFS(
D973&lt;=5,"Newcomer",
D973&lt;=10,"Proficient",
D973&gt;10,"Expert"
)</f>
        <v>Newcomer</v>
      </c>
      <c r="F973" s="2" t="s">
        <v>27</v>
      </c>
      <c r="G973" s="5" t="s">
        <v>47</v>
      </c>
      <c r="H973" s="5" t="s">
        <v>95</v>
      </c>
      <c r="I973" s="2">
        <v>16</v>
      </c>
      <c r="J973" s="2" t="s">
        <v>17</v>
      </c>
      <c r="K973" s="2" t="s">
        <v>18</v>
      </c>
      <c r="L973" s="2" t="s">
        <v>96</v>
      </c>
      <c r="M973" s="4" t="str">
        <f t="shared" si="30"/>
        <v>Involuntary</v>
      </c>
      <c r="N973" s="23" t="s">
        <v>26</v>
      </c>
    </row>
    <row r="974" spans="1:14" x14ac:dyDescent="0.25">
      <c r="A974" s="22">
        <v>4980</v>
      </c>
      <c r="B974" s="3">
        <v>40790</v>
      </c>
      <c r="C974" s="3">
        <v>44095</v>
      </c>
      <c r="D974" s="2">
        <f t="shared" si="31"/>
        <v>9</v>
      </c>
      <c r="E974" s="4" t="str" cm="1">
        <f t="array" ref="E974">_xlfn.IFS(
D974&lt;=5,"Newcomer",
D974&lt;=10,"Proficient",
D974&gt;10,"Expert"
)</f>
        <v>Proficient</v>
      </c>
      <c r="F974" s="2" t="s">
        <v>79</v>
      </c>
      <c r="G974" s="5" t="s">
        <v>62</v>
      </c>
      <c r="H974" s="5" t="s">
        <v>63</v>
      </c>
      <c r="I974" s="2">
        <v>25</v>
      </c>
      <c r="J974" s="2" t="s">
        <v>24</v>
      </c>
      <c r="K974" s="2" t="s">
        <v>25</v>
      </c>
      <c r="L974" s="2" t="s">
        <v>50</v>
      </c>
      <c r="M974" s="4" t="str">
        <f t="shared" si="30"/>
        <v>Voluntary</v>
      </c>
      <c r="N974" s="23" t="s">
        <v>26</v>
      </c>
    </row>
    <row r="975" spans="1:14" x14ac:dyDescent="0.25">
      <c r="A975" s="22">
        <v>4981</v>
      </c>
      <c r="B975" s="3">
        <v>39691</v>
      </c>
      <c r="C975" s="3">
        <v>44194</v>
      </c>
      <c r="D975" s="2">
        <f t="shared" si="31"/>
        <v>12</v>
      </c>
      <c r="E975" s="4" t="str" cm="1">
        <f t="array" ref="E975">_xlfn.IFS(
D975&lt;=5,"Newcomer",
D975&lt;=10,"Proficient",
D975&gt;10,"Expert"
)</f>
        <v>Expert</v>
      </c>
      <c r="F975" s="2" t="s">
        <v>108</v>
      </c>
      <c r="G975" s="5" t="s">
        <v>71</v>
      </c>
      <c r="H975" s="5" t="s">
        <v>116</v>
      </c>
      <c r="I975" s="2">
        <v>14</v>
      </c>
      <c r="J975" s="2" t="s">
        <v>24</v>
      </c>
      <c r="K975" s="2" t="s">
        <v>25</v>
      </c>
      <c r="L975" s="2" t="s">
        <v>96</v>
      </c>
      <c r="M975" s="4" t="str">
        <f t="shared" si="30"/>
        <v>Involuntary</v>
      </c>
      <c r="N975" s="23" t="s">
        <v>26</v>
      </c>
    </row>
    <row r="976" spans="1:14" x14ac:dyDescent="0.25">
      <c r="A976" s="22">
        <v>4983</v>
      </c>
      <c r="B976" s="3">
        <v>34536</v>
      </c>
      <c r="C976" s="3">
        <v>43860</v>
      </c>
      <c r="D976" s="2">
        <f t="shared" si="31"/>
        <v>26</v>
      </c>
      <c r="E976" s="4" t="str" cm="1">
        <f t="array" ref="E976">_xlfn.IFS(
D976&lt;=5,"Newcomer",
D976&lt;=10,"Proficient",
D976&gt;10,"Expert"
)</f>
        <v>Expert</v>
      </c>
      <c r="F976" s="2" t="s">
        <v>41</v>
      </c>
      <c r="G976" s="5" t="s">
        <v>47</v>
      </c>
      <c r="H976" s="5" t="s">
        <v>95</v>
      </c>
      <c r="I976" s="2">
        <v>15</v>
      </c>
      <c r="J976" s="2" t="s">
        <v>17</v>
      </c>
      <c r="K976" s="2" t="s">
        <v>18</v>
      </c>
      <c r="L976" s="2" t="s">
        <v>96</v>
      </c>
      <c r="M976" s="4" t="str">
        <f t="shared" si="30"/>
        <v>Involuntary</v>
      </c>
      <c r="N976" s="23" t="s">
        <v>26</v>
      </c>
    </row>
    <row r="977" spans="1:14" x14ac:dyDescent="0.25">
      <c r="A977" s="22">
        <v>4991</v>
      </c>
      <c r="B977" s="3">
        <v>36846</v>
      </c>
      <c r="C977" s="3">
        <v>43885</v>
      </c>
      <c r="D977" s="2">
        <f t="shared" si="31"/>
        <v>20</v>
      </c>
      <c r="E977" s="4" t="str" cm="1">
        <f t="array" ref="E977">_xlfn.IFS(
D977&lt;=5,"Newcomer",
D977&lt;=10,"Proficient",
D977&gt;10,"Expert"
)</f>
        <v>Expert</v>
      </c>
      <c r="F977" s="2" t="s">
        <v>30</v>
      </c>
      <c r="G977" s="5" t="s">
        <v>42</v>
      </c>
      <c r="H977" s="5" t="s">
        <v>105</v>
      </c>
      <c r="I977" s="2">
        <v>37</v>
      </c>
      <c r="J977" s="2" t="s">
        <v>17</v>
      </c>
      <c r="K977" s="2" t="s">
        <v>18</v>
      </c>
      <c r="L977" s="2" t="s">
        <v>96</v>
      </c>
      <c r="M977" s="4" t="str">
        <f t="shared" si="30"/>
        <v>Involuntary</v>
      </c>
      <c r="N977" s="23" t="s">
        <v>26</v>
      </c>
    </row>
    <row r="978" spans="1:14" x14ac:dyDescent="0.25">
      <c r="A978" s="22">
        <v>4995</v>
      </c>
      <c r="B978" s="3">
        <v>34458</v>
      </c>
      <c r="C978" s="3">
        <v>43965</v>
      </c>
      <c r="D978" s="2">
        <f t="shared" si="31"/>
        <v>26</v>
      </c>
      <c r="E978" s="4" t="str" cm="1">
        <f t="array" ref="E978">_xlfn.IFS(
D978&lt;=5,"Newcomer",
D978&lt;=10,"Proficient",
D978&gt;10,"Expert"
)</f>
        <v>Expert</v>
      </c>
      <c r="F978" s="2" t="s">
        <v>14</v>
      </c>
      <c r="G978" s="5" t="s">
        <v>35</v>
      </c>
      <c r="H978" s="5" t="s">
        <v>76</v>
      </c>
      <c r="I978" s="2">
        <v>35</v>
      </c>
      <c r="J978" s="2" t="s">
        <v>17</v>
      </c>
      <c r="K978" s="2" t="s">
        <v>18</v>
      </c>
      <c r="L978" s="2" t="s">
        <v>96</v>
      </c>
      <c r="M978" s="4" t="str">
        <f t="shared" si="30"/>
        <v>Involuntary</v>
      </c>
      <c r="N978" s="23" t="s">
        <v>26</v>
      </c>
    </row>
    <row r="979" spans="1:14" x14ac:dyDescent="0.25">
      <c r="A979" s="22">
        <v>4999</v>
      </c>
      <c r="B979" s="3">
        <v>39337</v>
      </c>
      <c r="C979" s="3">
        <v>44129</v>
      </c>
      <c r="D979" s="2">
        <f t="shared" si="31"/>
        <v>13</v>
      </c>
      <c r="E979" s="4" t="str" cm="1">
        <f t="array" ref="E979">_xlfn.IFS(
D979&lt;=5,"Newcomer",
D979&lt;=10,"Proficient",
D979&gt;10,"Expert"
)</f>
        <v>Expert</v>
      </c>
      <c r="F979" s="2" t="s">
        <v>108</v>
      </c>
      <c r="G979" s="5" t="s">
        <v>35</v>
      </c>
      <c r="H979" s="5" t="s">
        <v>76</v>
      </c>
      <c r="I979" s="2">
        <v>14</v>
      </c>
      <c r="J979" s="2" t="s">
        <v>24</v>
      </c>
      <c r="K979" s="2" t="s">
        <v>25</v>
      </c>
      <c r="L979" s="2" t="s">
        <v>96</v>
      </c>
      <c r="M979" s="4" t="str">
        <f t="shared" si="30"/>
        <v>Involuntary</v>
      </c>
      <c r="N979" s="23" t="s">
        <v>26</v>
      </c>
    </row>
    <row r="980" spans="1:14" x14ac:dyDescent="0.25">
      <c r="A980" s="22">
        <v>5000</v>
      </c>
      <c r="B980" s="3">
        <v>40567</v>
      </c>
      <c r="C980" s="3">
        <v>44084</v>
      </c>
      <c r="D980" s="2">
        <f t="shared" si="31"/>
        <v>9</v>
      </c>
      <c r="E980" s="4" t="str" cm="1">
        <f t="array" ref="E980">_xlfn.IFS(
D980&lt;=5,"Newcomer",
D980&lt;=10,"Proficient",
D980&gt;10,"Expert"
)</f>
        <v>Proficient</v>
      </c>
      <c r="F980" s="2" t="s">
        <v>104</v>
      </c>
      <c r="G980" s="5" t="s">
        <v>71</v>
      </c>
      <c r="H980" s="5" t="s">
        <v>116</v>
      </c>
      <c r="I980" s="2">
        <v>39</v>
      </c>
      <c r="J980" s="2" t="s">
        <v>24</v>
      </c>
      <c r="K980" s="2" t="s">
        <v>25</v>
      </c>
      <c r="L980" s="2" t="s">
        <v>96</v>
      </c>
      <c r="M980" s="4" t="str">
        <f t="shared" si="30"/>
        <v>Involuntary</v>
      </c>
      <c r="N980" s="23" t="s">
        <v>26</v>
      </c>
    </row>
    <row r="981" spans="1:14" x14ac:dyDescent="0.25">
      <c r="A981" s="22">
        <v>5001</v>
      </c>
      <c r="B981" s="3">
        <v>40482</v>
      </c>
      <c r="C981" s="3">
        <v>44119</v>
      </c>
      <c r="D981" s="2">
        <f t="shared" si="31"/>
        <v>10</v>
      </c>
      <c r="E981" s="4" t="str" cm="1">
        <f t="array" ref="E981">_xlfn.IFS(
D981&lt;=5,"Newcomer",
D981&lt;=10,"Proficient",
D981&gt;10,"Expert"
)</f>
        <v>Proficient</v>
      </c>
      <c r="F981" s="2" t="s">
        <v>77</v>
      </c>
      <c r="G981" s="5" t="s">
        <v>42</v>
      </c>
      <c r="H981" s="5" t="s">
        <v>105</v>
      </c>
      <c r="I981" s="2">
        <v>30</v>
      </c>
      <c r="J981" s="2" t="s">
        <v>24</v>
      </c>
      <c r="K981" s="2" t="s">
        <v>25</v>
      </c>
      <c r="L981" s="2" t="s">
        <v>96</v>
      </c>
      <c r="M981" s="4" t="str">
        <f t="shared" si="30"/>
        <v>Involuntary</v>
      </c>
      <c r="N981" s="23" t="s">
        <v>26</v>
      </c>
    </row>
    <row r="982" spans="1:14" x14ac:dyDescent="0.25">
      <c r="A982" s="22">
        <v>5002</v>
      </c>
      <c r="B982" s="3">
        <v>38932</v>
      </c>
      <c r="C982" s="3">
        <v>43849</v>
      </c>
      <c r="D982" s="2">
        <f t="shared" si="31"/>
        <v>14</v>
      </c>
      <c r="E982" s="4" t="str" cm="1">
        <f t="array" ref="E982">_xlfn.IFS(
D982&lt;=5,"Newcomer",
D982&lt;=10,"Proficient",
D982&gt;10,"Expert"
)</f>
        <v>Expert</v>
      </c>
      <c r="F982" s="2" t="s">
        <v>104</v>
      </c>
      <c r="G982" s="5" t="s">
        <v>71</v>
      </c>
      <c r="H982" s="5" t="s">
        <v>116</v>
      </c>
      <c r="I982" s="2">
        <v>39</v>
      </c>
      <c r="J982" s="2" t="s">
        <v>24</v>
      </c>
      <c r="K982" s="2" t="s">
        <v>25</v>
      </c>
      <c r="L982" s="2" t="s">
        <v>96</v>
      </c>
      <c r="M982" s="4" t="str">
        <f t="shared" si="30"/>
        <v>Involuntary</v>
      </c>
      <c r="N982" s="23" t="s">
        <v>26</v>
      </c>
    </row>
    <row r="983" spans="1:14" x14ac:dyDescent="0.25">
      <c r="A983" s="22">
        <v>5004</v>
      </c>
      <c r="B983" s="3">
        <v>39440</v>
      </c>
      <c r="C983" s="3">
        <v>44175</v>
      </c>
      <c r="D983" s="2">
        <f t="shared" si="31"/>
        <v>13</v>
      </c>
      <c r="E983" s="4" t="str" cm="1">
        <f t="array" ref="E983">_xlfn.IFS(
D983&lt;=5,"Newcomer",
D983&lt;=10,"Proficient",
D983&gt;10,"Expert"
)</f>
        <v>Expert</v>
      </c>
      <c r="F983" s="2" t="s">
        <v>86</v>
      </c>
      <c r="G983" s="5" t="s">
        <v>47</v>
      </c>
      <c r="H983" s="5" t="s">
        <v>95</v>
      </c>
      <c r="I983" s="2">
        <v>8</v>
      </c>
      <c r="J983" s="2" t="s">
        <v>24</v>
      </c>
      <c r="K983" s="2" t="s">
        <v>25</v>
      </c>
      <c r="L983" s="2" t="s">
        <v>96</v>
      </c>
      <c r="M983" s="4" t="str">
        <f t="shared" si="30"/>
        <v>Involuntary</v>
      </c>
      <c r="N983" s="23" t="s">
        <v>26</v>
      </c>
    </row>
    <row r="984" spans="1:14" x14ac:dyDescent="0.25">
      <c r="A984" s="22">
        <v>5005</v>
      </c>
      <c r="B984" s="3">
        <v>34815</v>
      </c>
      <c r="C984" s="3">
        <v>44052</v>
      </c>
      <c r="D984" s="2">
        <f t="shared" si="31"/>
        <v>25</v>
      </c>
      <c r="E984" s="4" t="str" cm="1">
        <f t="array" ref="E984">_xlfn.IFS(
D984&lt;=5,"Newcomer",
D984&lt;=10,"Proficient",
D984&gt;10,"Expert"
)</f>
        <v>Expert</v>
      </c>
      <c r="F984" s="2" t="s">
        <v>53</v>
      </c>
      <c r="G984" s="5" t="s">
        <v>42</v>
      </c>
      <c r="H984" s="5" t="s">
        <v>105</v>
      </c>
      <c r="I984" s="2">
        <v>31</v>
      </c>
      <c r="J984" s="2" t="s">
        <v>17</v>
      </c>
      <c r="K984" s="2" t="s">
        <v>18</v>
      </c>
      <c r="L984" s="2" t="s">
        <v>96</v>
      </c>
      <c r="M984" s="4" t="str">
        <f t="shared" si="30"/>
        <v>Involuntary</v>
      </c>
      <c r="N984" s="23" t="s">
        <v>26</v>
      </c>
    </row>
    <row r="985" spans="1:14" x14ac:dyDescent="0.25">
      <c r="A985" s="22">
        <v>5006</v>
      </c>
      <c r="B985" s="3">
        <v>36500</v>
      </c>
      <c r="C985" s="3">
        <v>43888</v>
      </c>
      <c r="D985" s="2">
        <f t="shared" si="31"/>
        <v>21</v>
      </c>
      <c r="E985" s="4" t="str" cm="1">
        <f t="array" ref="E985">_xlfn.IFS(
D985&lt;=5,"Newcomer",
D985&lt;=10,"Proficient",
D985&gt;10,"Expert"
)</f>
        <v>Expert</v>
      </c>
      <c r="F985" s="2" t="s">
        <v>86</v>
      </c>
      <c r="G985" s="5" t="s">
        <v>47</v>
      </c>
      <c r="H985" s="5" t="s">
        <v>95</v>
      </c>
      <c r="I985" s="2">
        <v>8</v>
      </c>
      <c r="J985" s="2" t="s">
        <v>24</v>
      </c>
      <c r="K985" s="2" t="s">
        <v>25</v>
      </c>
      <c r="L985" s="2" t="s">
        <v>96</v>
      </c>
      <c r="M985" s="4" t="str">
        <f t="shared" si="30"/>
        <v>Involuntary</v>
      </c>
      <c r="N985" s="23" t="s">
        <v>26</v>
      </c>
    </row>
    <row r="986" spans="1:14" x14ac:dyDescent="0.25">
      <c r="A986" s="22">
        <v>5007</v>
      </c>
      <c r="B986" s="3">
        <v>36398</v>
      </c>
      <c r="C986" s="3">
        <v>43859</v>
      </c>
      <c r="D986" s="2">
        <f t="shared" si="31"/>
        <v>21</v>
      </c>
      <c r="E986" s="4" t="str" cm="1">
        <f t="array" ref="E986">_xlfn.IFS(
D986&lt;=5,"Newcomer",
D986&lt;=10,"Proficient",
D986&gt;10,"Expert"
)</f>
        <v>Expert</v>
      </c>
      <c r="F986" s="2" t="s">
        <v>100</v>
      </c>
      <c r="G986" s="5" t="s">
        <v>71</v>
      </c>
      <c r="H986" s="5" t="s">
        <v>72</v>
      </c>
      <c r="I986" s="2">
        <v>13</v>
      </c>
      <c r="J986" s="2" t="s">
        <v>17</v>
      </c>
      <c r="K986" s="2" t="s">
        <v>18</v>
      </c>
      <c r="L986" s="2" t="s">
        <v>96</v>
      </c>
      <c r="M986" s="4" t="str">
        <f t="shared" si="30"/>
        <v>Involuntary</v>
      </c>
      <c r="N986" s="23" t="s">
        <v>26</v>
      </c>
    </row>
    <row r="987" spans="1:14" x14ac:dyDescent="0.25">
      <c r="A987" s="22">
        <v>5008</v>
      </c>
      <c r="B987" s="3">
        <v>40168</v>
      </c>
      <c r="C987" s="3">
        <v>43991</v>
      </c>
      <c r="D987" s="2">
        <f t="shared" si="31"/>
        <v>11</v>
      </c>
      <c r="E987" s="4" t="str" cm="1">
        <f t="array" ref="E987">_xlfn.IFS(
D987&lt;=5,"Newcomer",
D987&lt;=10,"Proficient",
D987&gt;10,"Expert"
)</f>
        <v>Expert</v>
      </c>
      <c r="F987" s="2" t="s">
        <v>14</v>
      </c>
      <c r="G987" s="5" t="s">
        <v>35</v>
      </c>
      <c r="H987" s="5" t="s">
        <v>76</v>
      </c>
      <c r="I987" s="2">
        <v>35</v>
      </c>
      <c r="J987" s="2" t="s">
        <v>17</v>
      </c>
      <c r="K987" s="2" t="s">
        <v>18</v>
      </c>
      <c r="L987" s="2" t="s">
        <v>96</v>
      </c>
      <c r="M987" s="4" t="str">
        <f t="shared" si="30"/>
        <v>Involuntary</v>
      </c>
      <c r="N987" s="23" t="s">
        <v>26</v>
      </c>
    </row>
    <row r="988" spans="1:14" x14ac:dyDescent="0.25">
      <c r="A988" s="22">
        <v>5011</v>
      </c>
      <c r="B988" s="3">
        <v>38477</v>
      </c>
      <c r="C988" s="3">
        <v>44165</v>
      </c>
      <c r="D988" s="2">
        <f t="shared" si="31"/>
        <v>15</v>
      </c>
      <c r="E988" s="4" t="str" cm="1">
        <f t="array" ref="E988">_xlfn.IFS(
D988&lt;=5,"Newcomer",
D988&lt;=10,"Proficient",
D988&gt;10,"Expert"
)</f>
        <v>Expert</v>
      </c>
      <c r="F988" s="2" t="s">
        <v>69</v>
      </c>
      <c r="G988" s="5" t="s">
        <v>42</v>
      </c>
      <c r="H988" s="5" t="s">
        <v>105</v>
      </c>
      <c r="I988" s="2">
        <v>28</v>
      </c>
      <c r="J988" s="2" t="s">
        <v>17</v>
      </c>
      <c r="K988" s="2" t="s">
        <v>18</v>
      </c>
      <c r="L988" s="2" t="s">
        <v>96</v>
      </c>
      <c r="M988" s="4" t="str">
        <f t="shared" si="30"/>
        <v>Involuntary</v>
      </c>
      <c r="N988" s="23" t="s">
        <v>26</v>
      </c>
    </row>
    <row r="989" spans="1:14" x14ac:dyDescent="0.25">
      <c r="A989" s="22">
        <v>5012</v>
      </c>
      <c r="B989" s="3">
        <v>40300</v>
      </c>
      <c r="C989" s="3">
        <v>43946</v>
      </c>
      <c r="D989" s="2">
        <f t="shared" si="31"/>
        <v>10</v>
      </c>
      <c r="E989" s="4" t="str" cm="1">
        <f t="array" ref="E989">_xlfn.IFS(
D989&lt;=5,"Newcomer",
D989&lt;=10,"Proficient",
D989&gt;10,"Expert"
)</f>
        <v>Proficient</v>
      </c>
      <c r="F989" s="2" t="s">
        <v>90</v>
      </c>
      <c r="G989" s="5" t="s">
        <v>42</v>
      </c>
      <c r="H989" s="5" t="s">
        <v>105</v>
      </c>
      <c r="I989" s="2">
        <v>26</v>
      </c>
      <c r="J989" s="2" t="s">
        <v>24</v>
      </c>
      <c r="K989" s="2" t="s">
        <v>25</v>
      </c>
      <c r="L989" s="2" t="s">
        <v>96</v>
      </c>
      <c r="M989" s="4" t="str">
        <f t="shared" si="30"/>
        <v>Involuntary</v>
      </c>
      <c r="N989" s="23" t="s">
        <v>26</v>
      </c>
    </row>
    <row r="990" spans="1:14" x14ac:dyDescent="0.25">
      <c r="A990" s="22">
        <v>5013</v>
      </c>
      <c r="B990" s="3">
        <v>33456</v>
      </c>
      <c r="C990" s="3">
        <v>44127</v>
      </c>
      <c r="D990" s="2">
        <f t="shared" si="31"/>
        <v>29</v>
      </c>
      <c r="E990" s="4" t="str" cm="1">
        <f t="array" ref="E990">_xlfn.IFS(
D990&lt;=5,"Newcomer",
D990&lt;=10,"Proficient",
D990&gt;10,"Expert"
)</f>
        <v>Expert</v>
      </c>
      <c r="F990" s="2" t="s">
        <v>27</v>
      </c>
      <c r="G990" s="5" t="s">
        <v>47</v>
      </c>
      <c r="H990" s="5" t="s">
        <v>95</v>
      </c>
      <c r="I990" s="2">
        <v>16</v>
      </c>
      <c r="J990" s="2" t="s">
        <v>17</v>
      </c>
      <c r="K990" s="2" t="s">
        <v>18</v>
      </c>
      <c r="L990" s="2" t="s">
        <v>96</v>
      </c>
      <c r="M990" s="4" t="str">
        <f t="shared" si="30"/>
        <v>Involuntary</v>
      </c>
      <c r="N990" s="23" t="s">
        <v>26</v>
      </c>
    </row>
    <row r="991" spans="1:14" x14ac:dyDescent="0.25">
      <c r="A991" s="22">
        <v>5014</v>
      </c>
      <c r="B991" s="3">
        <v>33508</v>
      </c>
      <c r="C991" s="3">
        <v>44051</v>
      </c>
      <c r="D991" s="2">
        <f t="shared" si="31"/>
        <v>29</v>
      </c>
      <c r="E991" s="4" t="str" cm="1">
        <f t="array" ref="E991">_xlfn.IFS(
D991&lt;=5,"Newcomer",
D991&lt;=10,"Proficient",
D991&gt;10,"Expert"
)</f>
        <v>Expert</v>
      </c>
      <c r="F991" s="2" t="s">
        <v>107</v>
      </c>
      <c r="G991" s="5" t="s">
        <v>42</v>
      </c>
      <c r="H991" s="5" t="s">
        <v>105</v>
      </c>
      <c r="I991" s="2">
        <v>11</v>
      </c>
      <c r="J991" s="2" t="s">
        <v>24</v>
      </c>
      <c r="K991" s="2" t="s">
        <v>25</v>
      </c>
      <c r="L991" s="2" t="s">
        <v>96</v>
      </c>
      <c r="M991" s="4" t="str">
        <f t="shared" si="30"/>
        <v>Involuntary</v>
      </c>
      <c r="N991" s="23" t="s">
        <v>26</v>
      </c>
    </row>
    <row r="992" spans="1:14" x14ac:dyDescent="0.25">
      <c r="A992" s="22">
        <v>5015</v>
      </c>
      <c r="B992" s="3">
        <v>41552</v>
      </c>
      <c r="C992" s="3">
        <v>43900</v>
      </c>
      <c r="D992" s="2">
        <f t="shared" si="31"/>
        <v>7</v>
      </c>
      <c r="E992" s="4" t="str" cm="1">
        <f t="array" ref="E992">_xlfn.IFS(
D992&lt;=5,"Newcomer",
D992&lt;=10,"Proficient",
D992&gt;10,"Expert"
)</f>
        <v>Proficient</v>
      </c>
      <c r="F992" s="2" t="s">
        <v>27</v>
      </c>
      <c r="G992" s="5" t="s">
        <v>47</v>
      </c>
      <c r="H992" s="5" t="s">
        <v>95</v>
      </c>
      <c r="I992" s="2">
        <v>16</v>
      </c>
      <c r="J992" s="2" t="s">
        <v>24</v>
      </c>
      <c r="K992" s="2" t="s">
        <v>25</v>
      </c>
      <c r="L992" s="2" t="s">
        <v>96</v>
      </c>
      <c r="M992" s="4" t="str">
        <f t="shared" si="30"/>
        <v>Involuntary</v>
      </c>
      <c r="N992" s="23" t="s">
        <v>26</v>
      </c>
    </row>
    <row r="993" spans="1:14" x14ac:dyDescent="0.25">
      <c r="A993" s="22">
        <v>5018</v>
      </c>
      <c r="B993" s="3">
        <v>39599</v>
      </c>
      <c r="C993" s="3">
        <v>43876</v>
      </c>
      <c r="D993" s="2">
        <f t="shared" si="31"/>
        <v>12</v>
      </c>
      <c r="E993" s="4" t="str" cm="1">
        <f t="array" ref="E993">_xlfn.IFS(
D993&lt;=5,"Newcomer",
D993&lt;=10,"Proficient",
D993&gt;10,"Expert"
)</f>
        <v>Expert</v>
      </c>
      <c r="F993" s="2" t="s">
        <v>112</v>
      </c>
      <c r="G993" s="5" t="s">
        <v>47</v>
      </c>
      <c r="H993" s="5" t="s">
        <v>95</v>
      </c>
      <c r="I993" s="2">
        <v>24</v>
      </c>
      <c r="J993" s="2" t="s">
        <v>24</v>
      </c>
      <c r="K993" s="2" t="s">
        <v>25</v>
      </c>
      <c r="L993" s="2" t="s">
        <v>96</v>
      </c>
      <c r="M993" s="4" t="str">
        <f t="shared" si="30"/>
        <v>Involuntary</v>
      </c>
      <c r="N993" s="23" t="s">
        <v>26</v>
      </c>
    </row>
    <row r="994" spans="1:14" x14ac:dyDescent="0.25">
      <c r="A994" s="22">
        <v>5020</v>
      </c>
      <c r="B994" s="3">
        <v>34330</v>
      </c>
      <c r="C994" s="3">
        <v>43831</v>
      </c>
      <c r="D994" s="2">
        <f t="shared" si="31"/>
        <v>27</v>
      </c>
      <c r="E994" s="4" t="str" cm="1">
        <f t="array" ref="E994">_xlfn.IFS(
D994&lt;=5,"Newcomer",
D994&lt;=10,"Proficient",
D994&gt;10,"Expert"
)</f>
        <v>Expert</v>
      </c>
      <c r="F994" s="2" t="s">
        <v>27</v>
      </c>
      <c r="G994" s="5" t="s">
        <v>47</v>
      </c>
      <c r="H994" s="5" t="s">
        <v>95</v>
      </c>
      <c r="I994" s="2">
        <v>16</v>
      </c>
      <c r="J994" s="2" t="s">
        <v>24</v>
      </c>
      <c r="K994" s="2" t="s">
        <v>25</v>
      </c>
      <c r="L994" s="2" t="s">
        <v>96</v>
      </c>
      <c r="M994" s="4" t="str">
        <f t="shared" si="30"/>
        <v>Involuntary</v>
      </c>
      <c r="N994" s="23" t="s">
        <v>26</v>
      </c>
    </row>
    <row r="995" spans="1:14" x14ac:dyDescent="0.25">
      <c r="A995" s="22">
        <v>5021</v>
      </c>
      <c r="B995" s="3">
        <v>38270</v>
      </c>
      <c r="C995" s="3">
        <v>44045</v>
      </c>
      <c r="D995" s="2">
        <f t="shared" si="31"/>
        <v>16</v>
      </c>
      <c r="E995" s="4" t="str" cm="1">
        <f t="array" ref="E995">_xlfn.IFS(
D995&lt;=5,"Newcomer",
D995&lt;=10,"Proficient",
D995&gt;10,"Expert"
)</f>
        <v>Expert</v>
      </c>
      <c r="F995" s="2" t="s">
        <v>41</v>
      </c>
      <c r="G995" s="5" t="s">
        <v>47</v>
      </c>
      <c r="H995" s="5" t="s">
        <v>95</v>
      </c>
      <c r="I995" s="2">
        <v>15</v>
      </c>
      <c r="J995" s="2" t="s">
        <v>17</v>
      </c>
      <c r="K995" s="2" t="s">
        <v>18</v>
      </c>
      <c r="L995" s="2" t="s">
        <v>96</v>
      </c>
      <c r="M995" s="4" t="str">
        <f t="shared" si="30"/>
        <v>Involuntary</v>
      </c>
      <c r="N995" s="23" t="s">
        <v>26</v>
      </c>
    </row>
    <row r="996" spans="1:14" x14ac:dyDescent="0.25">
      <c r="A996" s="22">
        <v>5025</v>
      </c>
      <c r="B996" s="3">
        <v>34964</v>
      </c>
      <c r="C996" s="3">
        <v>43861</v>
      </c>
      <c r="D996" s="2">
        <f t="shared" si="31"/>
        <v>25</v>
      </c>
      <c r="E996" s="4" t="str" cm="1">
        <f t="array" ref="E996">_xlfn.IFS(
D996&lt;=5,"Newcomer",
D996&lt;=10,"Proficient",
D996&gt;10,"Expert"
)</f>
        <v>Expert</v>
      </c>
      <c r="F996" s="2" t="s">
        <v>81</v>
      </c>
      <c r="G996" s="5" t="s">
        <v>42</v>
      </c>
      <c r="H996" s="5" t="s">
        <v>105</v>
      </c>
      <c r="I996" s="2">
        <v>5</v>
      </c>
      <c r="J996" s="2" t="s">
        <v>24</v>
      </c>
      <c r="K996" s="2" t="s">
        <v>25</v>
      </c>
      <c r="L996" s="2" t="s">
        <v>96</v>
      </c>
      <c r="M996" s="4" t="str">
        <f t="shared" si="30"/>
        <v>Involuntary</v>
      </c>
      <c r="N996" s="23" t="s">
        <v>26</v>
      </c>
    </row>
    <row r="997" spans="1:14" x14ac:dyDescent="0.25">
      <c r="A997" s="22">
        <v>5028</v>
      </c>
      <c r="B997" s="3">
        <v>35606</v>
      </c>
      <c r="C997" s="3">
        <v>44079</v>
      </c>
      <c r="D997" s="2">
        <f t="shared" si="31"/>
        <v>23</v>
      </c>
      <c r="E997" s="4" t="str" cm="1">
        <f t="array" ref="E997">_xlfn.IFS(
D997&lt;=5,"Newcomer",
D997&lt;=10,"Proficient",
D997&gt;10,"Expert"
)</f>
        <v>Expert</v>
      </c>
      <c r="F997" s="2" t="s">
        <v>78</v>
      </c>
      <c r="G997" s="5" t="s">
        <v>42</v>
      </c>
      <c r="H997" s="5" t="s">
        <v>105</v>
      </c>
      <c r="I997" s="2">
        <v>21</v>
      </c>
      <c r="J997" s="2" t="s">
        <v>17</v>
      </c>
      <c r="K997" s="2" t="s">
        <v>18</v>
      </c>
      <c r="L997" s="2" t="s">
        <v>96</v>
      </c>
      <c r="M997" s="4" t="str">
        <f t="shared" si="30"/>
        <v>Involuntary</v>
      </c>
      <c r="N997" s="23" t="s">
        <v>26</v>
      </c>
    </row>
    <row r="998" spans="1:14" x14ac:dyDescent="0.25">
      <c r="A998" s="22">
        <v>5037</v>
      </c>
      <c r="B998" s="3">
        <v>38734</v>
      </c>
      <c r="C998" s="3">
        <v>44071</v>
      </c>
      <c r="D998" s="2">
        <f t="shared" si="31"/>
        <v>14</v>
      </c>
      <c r="E998" s="4" t="str" cm="1">
        <f t="array" ref="E998">_xlfn.IFS(
D998&lt;=5,"Newcomer",
D998&lt;=10,"Proficient",
D998&gt;10,"Expert"
)</f>
        <v>Expert</v>
      </c>
      <c r="F998" s="2" t="s">
        <v>78</v>
      </c>
      <c r="G998" s="5" t="s">
        <v>42</v>
      </c>
      <c r="H998" s="5" t="s">
        <v>105</v>
      </c>
      <c r="I998" s="2">
        <v>21</v>
      </c>
      <c r="J998" s="2" t="s">
        <v>24</v>
      </c>
      <c r="K998" s="2" t="s">
        <v>25</v>
      </c>
      <c r="L998" s="2" t="s">
        <v>96</v>
      </c>
      <c r="M998" s="4" t="str">
        <f t="shared" si="30"/>
        <v>Involuntary</v>
      </c>
      <c r="N998" s="23" t="s">
        <v>26</v>
      </c>
    </row>
    <row r="999" spans="1:14" x14ac:dyDescent="0.25">
      <c r="A999" s="22">
        <v>5038</v>
      </c>
      <c r="B999" s="3">
        <v>40471</v>
      </c>
      <c r="C999" s="3">
        <v>43876</v>
      </c>
      <c r="D999" s="2">
        <f t="shared" si="31"/>
        <v>10</v>
      </c>
      <c r="E999" s="4" t="str" cm="1">
        <f t="array" ref="E999">_xlfn.IFS(
D999&lt;=5,"Newcomer",
D999&lt;=10,"Proficient",
D999&gt;10,"Expert"
)</f>
        <v>Proficient</v>
      </c>
      <c r="F999" s="2" t="s">
        <v>49</v>
      </c>
      <c r="G999" s="5" t="s">
        <v>47</v>
      </c>
      <c r="H999" s="5" t="s">
        <v>95</v>
      </c>
      <c r="I999" s="2">
        <v>12</v>
      </c>
      <c r="J999" s="2" t="s">
        <v>17</v>
      </c>
      <c r="K999" s="2" t="s">
        <v>18</v>
      </c>
      <c r="L999" s="2" t="s">
        <v>96</v>
      </c>
      <c r="M999" s="4" t="str">
        <f t="shared" si="30"/>
        <v>Involuntary</v>
      </c>
      <c r="N999" s="23" t="s">
        <v>26</v>
      </c>
    </row>
    <row r="1000" spans="1:14" x14ac:dyDescent="0.25">
      <c r="A1000" s="22">
        <v>5039</v>
      </c>
      <c r="B1000" s="3">
        <v>33691</v>
      </c>
      <c r="C1000" s="3">
        <v>44141</v>
      </c>
      <c r="D1000" s="2">
        <f t="shared" si="31"/>
        <v>28</v>
      </c>
      <c r="E1000" s="4" t="str" cm="1">
        <f t="array" ref="E1000">_xlfn.IFS(
D1000&lt;=5,"Newcomer",
D1000&lt;=10,"Proficient",
D1000&gt;10,"Expert"
)</f>
        <v>Expert</v>
      </c>
      <c r="F1000" s="2" t="s">
        <v>79</v>
      </c>
      <c r="G1000" s="5" t="s">
        <v>47</v>
      </c>
      <c r="H1000" s="5" t="s">
        <v>95</v>
      </c>
      <c r="I1000" s="2">
        <v>25</v>
      </c>
      <c r="J1000" s="2" t="s">
        <v>17</v>
      </c>
      <c r="K1000" s="2" t="s">
        <v>18</v>
      </c>
      <c r="L1000" s="2" t="s">
        <v>96</v>
      </c>
      <c r="M1000" s="4" t="str">
        <f t="shared" si="30"/>
        <v>Involuntary</v>
      </c>
      <c r="N1000" s="23" t="s">
        <v>26</v>
      </c>
    </row>
    <row r="1001" spans="1:14" x14ac:dyDescent="0.25">
      <c r="A1001" s="22">
        <v>5047</v>
      </c>
      <c r="B1001" s="3">
        <v>37267</v>
      </c>
      <c r="C1001" s="3">
        <v>44166</v>
      </c>
      <c r="D1001" s="2">
        <f t="shared" si="31"/>
        <v>18</v>
      </c>
      <c r="E1001" s="4" t="str" cm="1">
        <f t="array" ref="E1001">_xlfn.IFS(
D1001&lt;=5,"Newcomer",
D1001&lt;=10,"Proficient",
D1001&gt;10,"Expert"
)</f>
        <v>Expert</v>
      </c>
      <c r="F1001" s="2" t="s">
        <v>78</v>
      </c>
      <c r="G1001" s="5" t="s">
        <v>42</v>
      </c>
      <c r="H1001" s="5" t="s">
        <v>105</v>
      </c>
      <c r="I1001" s="2">
        <v>21</v>
      </c>
      <c r="J1001" s="2" t="s">
        <v>24</v>
      </c>
      <c r="K1001" s="2" t="s">
        <v>25</v>
      </c>
      <c r="L1001" s="2" t="s">
        <v>96</v>
      </c>
      <c r="M1001" s="4" t="str">
        <f t="shared" si="30"/>
        <v>Involuntary</v>
      </c>
      <c r="N1001" s="23" t="s">
        <v>26</v>
      </c>
    </row>
    <row r="1002" spans="1:14" x14ac:dyDescent="0.25">
      <c r="A1002" s="22">
        <v>5051</v>
      </c>
      <c r="B1002" s="3">
        <v>32876</v>
      </c>
      <c r="C1002" s="3">
        <v>44127</v>
      </c>
      <c r="D1002" s="2">
        <f t="shared" si="31"/>
        <v>30</v>
      </c>
      <c r="E1002" s="4" t="str" cm="1">
        <f t="array" ref="E1002">_xlfn.IFS(
D1002&lt;=5,"Newcomer",
D1002&lt;=10,"Proficient",
D1002&gt;10,"Expert"
)</f>
        <v>Expert</v>
      </c>
      <c r="F1002" s="2" t="s">
        <v>44</v>
      </c>
      <c r="G1002" s="5" t="s">
        <v>42</v>
      </c>
      <c r="H1002" s="5" t="s">
        <v>105</v>
      </c>
      <c r="I1002" s="2">
        <v>18</v>
      </c>
      <c r="J1002" s="2" t="s">
        <v>17</v>
      </c>
      <c r="K1002" s="2" t="s">
        <v>18</v>
      </c>
      <c r="L1002" s="2" t="s">
        <v>96</v>
      </c>
      <c r="M1002" s="4" t="str">
        <f t="shared" si="30"/>
        <v>Involuntary</v>
      </c>
      <c r="N1002" s="23" t="s">
        <v>26</v>
      </c>
    </row>
    <row r="1003" spans="1:14" x14ac:dyDescent="0.25">
      <c r="A1003" s="22">
        <v>5052</v>
      </c>
      <c r="B1003" s="3">
        <v>37829</v>
      </c>
      <c r="C1003" s="3">
        <v>44139</v>
      </c>
      <c r="D1003" s="2">
        <f t="shared" si="31"/>
        <v>17</v>
      </c>
      <c r="E1003" s="4" t="str" cm="1">
        <f t="array" ref="E1003">_xlfn.IFS(
D1003&lt;=5,"Newcomer",
D1003&lt;=10,"Proficient",
D1003&gt;10,"Expert"
)</f>
        <v>Expert</v>
      </c>
      <c r="F1003" s="2" t="s">
        <v>41</v>
      </c>
      <c r="G1003" s="5" t="s">
        <v>71</v>
      </c>
      <c r="H1003" s="5" t="s">
        <v>116</v>
      </c>
      <c r="I1003" s="2">
        <v>15</v>
      </c>
      <c r="J1003" s="2" t="s">
        <v>17</v>
      </c>
      <c r="K1003" s="2" t="s">
        <v>18</v>
      </c>
      <c r="L1003" s="2" t="s">
        <v>96</v>
      </c>
      <c r="M1003" s="4" t="str">
        <f t="shared" si="30"/>
        <v>Involuntary</v>
      </c>
      <c r="N1003" s="23" t="s">
        <v>26</v>
      </c>
    </row>
    <row r="1004" spans="1:14" x14ac:dyDescent="0.25">
      <c r="A1004" s="22">
        <v>5053</v>
      </c>
      <c r="B1004" s="3">
        <v>37994</v>
      </c>
      <c r="C1004" s="3">
        <v>44140</v>
      </c>
      <c r="D1004" s="2">
        <f t="shared" si="31"/>
        <v>16</v>
      </c>
      <c r="E1004" s="4" t="str" cm="1">
        <f t="array" ref="E1004">_xlfn.IFS(
D1004&lt;=5,"Newcomer",
D1004&lt;=10,"Proficient",
D1004&gt;10,"Expert"
)</f>
        <v>Expert</v>
      </c>
      <c r="F1004" s="2" t="s">
        <v>30</v>
      </c>
      <c r="G1004" s="5" t="s">
        <v>42</v>
      </c>
      <c r="H1004" s="5" t="s">
        <v>105</v>
      </c>
      <c r="I1004" s="2">
        <v>37</v>
      </c>
      <c r="J1004" s="2" t="s">
        <v>17</v>
      </c>
      <c r="K1004" s="2" t="s">
        <v>18</v>
      </c>
      <c r="L1004" s="2" t="s">
        <v>96</v>
      </c>
      <c r="M1004" s="4" t="str">
        <f t="shared" si="30"/>
        <v>Involuntary</v>
      </c>
      <c r="N1004" s="23" t="s">
        <v>26</v>
      </c>
    </row>
    <row r="1005" spans="1:14" x14ac:dyDescent="0.25">
      <c r="A1005" s="22">
        <v>5054</v>
      </c>
      <c r="B1005" s="3">
        <v>36593</v>
      </c>
      <c r="C1005" s="3">
        <v>44085</v>
      </c>
      <c r="D1005" s="2">
        <f t="shared" si="31"/>
        <v>20</v>
      </c>
      <c r="E1005" s="4" t="str" cm="1">
        <f t="array" ref="E1005">_xlfn.IFS(
D1005&lt;=5,"Newcomer",
D1005&lt;=10,"Proficient",
D1005&gt;10,"Expert"
)</f>
        <v>Expert</v>
      </c>
      <c r="F1005" s="2" t="s">
        <v>81</v>
      </c>
      <c r="G1005" s="5" t="s">
        <v>42</v>
      </c>
      <c r="H1005" s="5" t="s">
        <v>105</v>
      </c>
      <c r="I1005" s="2">
        <v>5</v>
      </c>
      <c r="J1005" s="2" t="s">
        <v>17</v>
      </c>
      <c r="K1005" s="2" t="s">
        <v>18</v>
      </c>
      <c r="L1005" s="2" t="s">
        <v>96</v>
      </c>
      <c r="M1005" s="4" t="str">
        <f t="shared" si="30"/>
        <v>Involuntary</v>
      </c>
      <c r="N1005" s="23" t="s">
        <v>26</v>
      </c>
    </row>
    <row r="1006" spans="1:14" x14ac:dyDescent="0.25">
      <c r="A1006" s="22">
        <v>5064</v>
      </c>
      <c r="B1006" s="3">
        <v>35883</v>
      </c>
      <c r="C1006" s="3">
        <v>44022</v>
      </c>
      <c r="D1006" s="2">
        <f t="shared" si="31"/>
        <v>22</v>
      </c>
      <c r="E1006" s="4" t="str" cm="1">
        <f t="array" ref="E1006">_xlfn.IFS(
D1006&lt;=5,"Newcomer",
D1006&lt;=10,"Proficient",
D1006&gt;10,"Expert"
)</f>
        <v>Expert</v>
      </c>
      <c r="F1006" s="2" t="s">
        <v>101</v>
      </c>
      <c r="G1006" s="5" t="s">
        <v>42</v>
      </c>
      <c r="H1006" s="5" t="s">
        <v>105</v>
      </c>
      <c r="I1006" s="2">
        <v>38</v>
      </c>
      <c r="J1006" s="2" t="s">
        <v>24</v>
      </c>
      <c r="K1006" s="2" t="s">
        <v>25</v>
      </c>
      <c r="L1006" s="2" t="s">
        <v>96</v>
      </c>
      <c r="M1006" s="4" t="str">
        <f t="shared" si="30"/>
        <v>Involuntary</v>
      </c>
      <c r="N1006" s="23" t="s">
        <v>26</v>
      </c>
    </row>
    <row r="1007" spans="1:14" x14ac:dyDescent="0.25">
      <c r="A1007" s="22">
        <v>5066</v>
      </c>
      <c r="B1007" s="3">
        <v>38879</v>
      </c>
      <c r="C1007" s="3">
        <v>44078</v>
      </c>
      <c r="D1007" s="2">
        <f t="shared" si="31"/>
        <v>14</v>
      </c>
      <c r="E1007" s="4" t="str" cm="1">
        <f t="array" ref="E1007">_xlfn.IFS(
D1007&lt;=5,"Newcomer",
D1007&lt;=10,"Proficient",
D1007&gt;10,"Expert"
)</f>
        <v>Expert</v>
      </c>
      <c r="F1007" s="2" t="s">
        <v>115</v>
      </c>
      <c r="G1007" s="5" t="s">
        <v>42</v>
      </c>
      <c r="H1007" s="5" t="s">
        <v>105</v>
      </c>
      <c r="I1007" s="2">
        <v>17</v>
      </c>
      <c r="J1007" s="2" t="s">
        <v>17</v>
      </c>
      <c r="K1007" s="2" t="s">
        <v>18</v>
      </c>
      <c r="L1007" s="2" t="s">
        <v>96</v>
      </c>
      <c r="M1007" s="4" t="str">
        <f t="shared" si="30"/>
        <v>Involuntary</v>
      </c>
      <c r="N1007" s="23" t="s">
        <v>26</v>
      </c>
    </row>
    <row r="1008" spans="1:14" x14ac:dyDescent="0.25">
      <c r="A1008" s="22">
        <v>5068</v>
      </c>
      <c r="B1008" s="3">
        <v>35394</v>
      </c>
      <c r="C1008" s="3">
        <v>44011</v>
      </c>
      <c r="D1008" s="2">
        <f t="shared" si="31"/>
        <v>24</v>
      </c>
      <c r="E1008" s="4" t="str" cm="1">
        <f t="array" ref="E1008">_xlfn.IFS(
D1008&lt;=5,"Newcomer",
D1008&lt;=10,"Proficient",
D1008&gt;10,"Expert"
)</f>
        <v>Expert</v>
      </c>
      <c r="F1008" s="2" t="s">
        <v>106</v>
      </c>
      <c r="G1008" s="5" t="s">
        <v>42</v>
      </c>
      <c r="H1008" s="5" t="s">
        <v>105</v>
      </c>
      <c r="I1008" s="2">
        <v>20</v>
      </c>
      <c r="J1008" s="2" t="s">
        <v>17</v>
      </c>
      <c r="K1008" s="2" t="s">
        <v>18</v>
      </c>
      <c r="L1008" s="2" t="s">
        <v>96</v>
      </c>
      <c r="M1008" s="4" t="str">
        <f t="shared" si="30"/>
        <v>Involuntary</v>
      </c>
      <c r="N1008" s="23" t="s">
        <v>26</v>
      </c>
    </row>
    <row r="1009" spans="1:14" x14ac:dyDescent="0.25">
      <c r="A1009" s="22">
        <v>5071</v>
      </c>
      <c r="B1009" s="3">
        <v>35671</v>
      </c>
      <c r="C1009" s="3">
        <v>43901</v>
      </c>
      <c r="D1009" s="2">
        <f t="shared" si="31"/>
        <v>23</v>
      </c>
      <c r="E1009" s="4" t="str" cm="1">
        <f t="array" ref="E1009">_xlfn.IFS(
D1009&lt;=5,"Newcomer",
D1009&lt;=10,"Proficient",
D1009&gt;10,"Expert"
)</f>
        <v>Expert</v>
      </c>
      <c r="F1009" s="2" t="s">
        <v>14</v>
      </c>
      <c r="G1009" s="5" t="s">
        <v>35</v>
      </c>
      <c r="H1009" s="5" t="s">
        <v>76</v>
      </c>
      <c r="I1009" s="2">
        <v>35</v>
      </c>
      <c r="J1009" s="2" t="s">
        <v>24</v>
      </c>
      <c r="K1009" s="2" t="s">
        <v>25</v>
      </c>
      <c r="L1009" s="2" t="s">
        <v>96</v>
      </c>
      <c r="M1009" s="4" t="str">
        <f t="shared" si="30"/>
        <v>Involuntary</v>
      </c>
      <c r="N1009" s="23" t="s">
        <v>26</v>
      </c>
    </row>
    <row r="1010" spans="1:14" x14ac:dyDescent="0.25">
      <c r="A1010" s="22">
        <v>5076</v>
      </c>
      <c r="B1010" s="3">
        <v>34529</v>
      </c>
      <c r="C1010" s="3">
        <v>43967</v>
      </c>
      <c r="D1010" s="2">
        <f t="shared" si="31"/>
        <v>26</v>
      </c>
      <c r="E1010" s="4" t="str" cm="1">
        <f t="array" ref="E1010">_xlfn.IFS(
D1010&lt;=5,"Newcomer",
D1010&lt;=10,"Proficient",
D1010&gt;10,"Expert"
)</f>
        <v>Expert</v>
      </c>
      <c r="F1010" s="2" t="s">
        <v>14</v>
      </c>
      <c r="G1010" s="5" t="s">
        <v>35</v>
      </c>
      <c r="H1010" s="5" t="s">
        <v>76</v>
      </c>
      <c r="I1010" s="2">
        <v>35</v>
      </c>
      <c r="J1010" s="2" t="s">
        <v>17</v>
      </c>
      <c r="K1010" s="2" t="s">
        <v>18</v>
      </c>
      <c r="L1010" s="2" t="s">
        <v>96</v>
      </c>
      <c r="M1010" s="4" t="str">
        <f t="shared" si="30"/>
        <v>Involuntary</v>
      </c>
      <c r="N1010" s="23" t="s">
        <v>26</v>
      </c>
    </row>
    <row r="1011" spans="1:14" x14ac:dyDescent="0.25">
      <c r="A1011" s="22">
        <v>5077</v>
      </c>
      <c r="B1011" s="3">
        <v>34851</v>
      </c>
      <c r="C1011" s="3">
        <v>43909</v>
      </c>
      <c r="D1011" s="2">
        <f t="shared" si="31"/>
        <v>25</v>
      </c>
      <c r="E1011" s="4" t="str" cm="1">
        <f t="array" ref="E1011">_xlfn.IFS(
D1011&lt;=5,"Newcomer",
D1011&lt;=10,"Proficient",
D1011&gt;10,"Expert"
)</f>
        <v>Expert</v>
      </c>
      <c r="F1011" s="2" t="s">
        <v>109</v>
      </c>
      <c r="G1011" s="5" t="s">
        <v>42</v>
      </c>
      <c r="H1011" s="5" t="s">
        <v>105</v>
      </c>
      <c r="I1011" s="2">
        <v>22</v>
      </c>
      <c r="J1011" s="2" t="s">
        <v>17</v>
      </c>
      <c r="K1011" s="2" t="s">
        <v>18</v>
      </c>
      <c r="L1011" s="2" t="s">
        <v>96</v>
      </c>
      <c r="M1011" s="4" t="str">
        <f t="shared" si="30"/>
        <v>Involuntary</v>
      </c>
      <c r="N1011" s="23" t="s">
        <v>26</v>
      </c>
    </row>
    <row r="1012" spans="1:14" x14ac:dyDescent="0.25">
      <c r="A1012" s="22">
        <v>5079</v>
      </c>
      <c r="B1012" s="3">
        <v>34204</v>
      </c>
      <c r="C1012" s="3">
        <v>44110</v>
      </c>
      <c r="D1012" s="2">
        <f t="shared" si="31"/>
        <v>27</v>
      </c>
      <c r="E1012" s="4" t="str" cm="1">
        <f t="array" ref="E1012">_xlfn.IFS(
D1012&lt;=5,"Newcomer",
D1012&lt;=10,"Proficient",
D1012&gt;10,"Expert"
)</f>
        <v>Expert</v>
      </c>
      <c r="F1012" s="2" t="s">
        <v>14</v>
      </c>
      <c r="G1012" s="5" t="s">
        <v>35</v>
      </c>
      <c r="H1012" s="5" t="s">
        <v>76</v>
      </c>
      <c r="I1012" s="2">
        <v>35</v>
      </c>
      <c r="J1012" s="2" t="s">
        <v>17</v>
      </c>
      <c r="K1012" s="2" t="s">
        <v>18</v>
      </c>
      <c r="L1012" s="2" t="s">
        <v>96</v>
      </c>
      <c r="M1012" s="4" t="str">
        <f t="shared" si="30"/>
        <v>Involuntary</v>
      </c>
      <c r="N1012" s="23" t="s">
        <v>26</v>
      </c>
    </row>
    <row r="1013" spans="1:14" x14ac:dyDescent="0.25">
      <c r="A1013" s="22">
        <v>5081</v>
      </c>
      <c r="B1013" s="3">
        <v>35043</v>
      </c>
      <c r="C1013" s="3">
        <v>44100</v>
      </c>
      <c r="D1013" s="2">
        <f t="shared" si="31"/>
        <v>25</v>
      </c>
      <c r="E1013" s="4" t="str" cm="1">
        <f t="array" ref="E1013">_xlfn.IFS(
D1013&lt;=5,"Newcomer",
D1013&lt;=10,"Proficient",
D1013&gt;10,"Expert"
)</f>
        <v>Expert</v>
      </c>
      <c r="F1013" s="2" t="s">
        <v>14</v>
      </c>
      <c r="G1013" s="5" t="s">
        <v>35</v>
      </c>
      <c r="H1013" s="5" t="s">
        <v>76</v>
      </c>
      <c r="I1013" s="2">
        <v>35</v>
      </c>
      <c r="J1013" s="2" t="s">
        <v>24</v>
      </c>
      <c r="K1013" s="2" t="s">
        <v>25</v>
      </c>
      <c r="L1013" s="2" t="s">
        <v>96</v>
      </c>
      <c r="M1013" s="4" t="str">
        <f t="shared" si="30"/>
        <v>Involuntary</v>
      </c>
      <c r="N1013" s="23" t="s">
        <v>26</v>
      </c>
    </row>
    <row r="1014" spans="1:14" x14ac:dyDescent="0.25">
      <c r="A1014" s="22">
        <v>5082</v>
      </c>
      <c r="B1014" s="3">
        <v>34885</v>
      </c>
      <c r="C1014" s="3">
        <v>43908</v>
      </c>
      <c r="D1014" s="2">
        <f t="shared" si="31"/>
        <v>25</v>
      </c>
      <c r="E1014" s="4" t="str" cm="1">
        <f t="array" ref="E1014">_xlfn.IFS(
D1014&lt;=5,"Newcomer",
D1014&lt;=10,"Proficient",
D1014&gt;10,"Expert"
)</f>
        <v>Expert</v>
      </c>
      <c r="F1014" s="2" t="s">
        <v>14</v>
      </c>
      <c r="G1014" s="5" t="s">
        <v>35</v>
      </c>
      <c r="H1014" s="5" t="s">
        <v>76</v>
      </c>
      <c r="I1014" s="2">
        <v>35</v>
      </c>
      <c r="J1014" s="2" t="s">
        <v>24</v>
      </c>
      <c r="K1014" s="2" t="s">
        <v>25</v>
      </c>
      <c r="L1014" s="2" t="s">
        <v>96</v>
      </c>
      <c r="M1014" s="4" t="str">
        <f t="shared" si="30"/>
        <v>Involuntary</v>
      </c>
      <c r="N1014" s="23" t="s">
        <v>26</v>
      </c>
    </row>
    <row r="1015" spans="1:14" x14ac:dyDescent="0.25">
      <c r="A1015" s="22">
        <v>5083</v>
      </c>
      <c r="B1015" s="3">
        <v>37997</v>
      </c>
      <c r="C1015" s="3">
        <v>43931</v>
      </c>
      <c r="D1015" s="2">
        <f t="shared" si="31"/>
        <v>16</v>
      </c>
      <c r="E1015" s="4" t="str" cm="1">
        <f t="array" ref="E1015">_xlfn.IFS(
D1015&lt;=5,"Newcomer",
D1015&lt;=10,"Proficient",
D1015&gt;10,"Expert"
)</f>
        <v>Expert</v>
      </c>
      <c r="F1015" s="2" t="s">
        <v>14</v>
      </c>
      <c r="G1015" s="5" t="s">
        <v>35</v>
      </c>
      <c r="H1015" s="5" t="s">
        <v>76</v>
      </c>
      <c r="I1015" s="2">
        <v>35</v>
      </c>
      <c r="J1015" s="2" t="s">
        <v>17</v>
      </c>
      <c r="K1015" s="2" t="s">
        <v>18</v>
      </c>
      <c r="L1015" s="2" t="s">
        <v>96</v>
      </c>
      <c r="M1015" s="4" t="str">
        <f t="shared" si="30"/>
        <v>Involuntary</v>
      </c>
      <c r="N1015" s="23" t="s">
        <v>26</v>
      </c>
    </row>
    <row r="1016" spans="1:14" x14ac:dyDescent="0.25">
      <c r="A1016" s="22">
        <v>5084</v>
      </c>
      <c r="B1016" s="3">
        <v>37009</v>
      </c>
      <c r="C1016" s="3">
        <v>44164</v>
      </c>
      <c r="D1016" s="2">
        <f t="shared" si="31"/>
        <v>19</v>
      </c>
      <c r="E1016" s="4" t="str" cm="1">
        <f t="array" ref="E1016">_xlfn.IFS(
D1016&lt;=5,"Newcomer",
D1016&lt;=10,"Proficient",
D1016&gt;10,"Expert"
)</f>
        <v>Expert</v>
      </c>
      <c r="F1016" s="2" t="s">
        <v>14</v>
      </c>
      <c r="G1016" s="5" t="s">
        <v>35</v>
      </c>
      <c r="H1016" s="5" t="s">
        <v>76</v>
      </c>
      <c r="I1016" s="2">
        <v>35</v>
      </c>
      <c r="J1016" s="2" t="s">
        <v>17</v>
      </c>
      <c r="K1016" s="2" t="s">
        <v>18</v>
      </c>
      <c r="L1016" s="2" t="s">
        <v>96</v>
      </c>
      <c r="M1016" s="4" t="str">
        <f t="shared" si="30"/>
        <v>Involuntary</v>
      </c>
      <c r="N1016" s="23" t="s">
        <v>26</v>
      </c>
    </row>
    <row r="1017" spans="1:14" x14ac:dyDescent="0.25">
      <c r="A1017" s="22">
        <v>5088</v>
      </c>
      <c r="B1017" s="3">
        <v>33861</v>
      </c>
      <c r="C1017" s="3">
        <v>44050</v>
      </c>
      <c r="D1017" s="2">
        <f t="shared" si="31"/>
        <v>28</v>
      </c>
      <c r="E1017" s="4" t="str" cm="1">
        <f t="array" ref="E1017">_xlfn.IFS(
D1017&lt;=5,"Newcomer",
D1017&lt;=10,"Proficient",
D1017&gt;10,"Expert"
)</f>
        <v>Expert</v>
      </c>
      <c r="F1017" s="2" t="s">
        <v>109</v>
      </c>
      <c r="G1017" s="5" t="s">
        <v>42</v>
      </c>
      <c r="H1017" s="5" t="s">
        <v>105</v>
      </c>
      <c r="I1017" s="2">
        <v>22</v>
      </c>
      <c r="J1017" s="2" t="s">
        <v>24</v>
      </c>
      <c r="K1017" s="2" t="s">
        <v>25</v>
      </c>
      <c r="L1017" s="2" t="s">
        <v>96</v>
      </c>
      <c r="M1017" s="4" t="str">
        <f t="shared" si="30"/>
        <v>Involuntary</v>
      </c>
      <c r="N1017" s="23" t="s">
        <v>26</v>
      </c>
    </row>
    <row r="1018" spans="1:14" x14ac:dyDescent="0.25">
      <c r="A1018" s="22">
        <v>5091</v>
      </c>
      <c r="B1018" s="3">
        <v>39418</v>
      </c>
      <c r="C1018" s="3">
        <v>44186</v>
      </c>
      <c r="D1018" s="2">
        <f t="shared" si="31"/>
        <v>13</v>
      </c>
      <c r="E1018" s="4" t="str" cm="1">
        <f t="array" ref="E1018">_xlfn.IFS(
D1018&lt;=5,"Newcomer",
D1018&lt;=10,"Proficient",
D1018&gt;10,"Expert"
)</f>
        <v>Expert</v>
      </c>
      <c r="F1018" s="2" t="s">
        <v>90</v>
      </c>
      <c r="G1018" s="5" t="s">
        <v>42</v>
      </c>
      <c r="H1018" s="5" t="s">
        <v>105</v>
      </c>
      <c r="I1018" s="2">
        <v>26</v>
      </c>
      <c r="J1018" s="2" t="s">
        <v>24</v>
      </c>
      <c r="K1018" s="2" t="s">
        <v>25</v>
      </c>
      <c r="L1018" s="2" t="s">
        <v>96</v>
      </c>
      <c r="M1018" s="4" t="str">
        <f t="shared" si="30"/>
        <v>Involuntary</v>
      </c>
      <c r="N1018" s="23" t="s">
        <v>26</v>
      </c>
    </row>
    <row r="1019" spans="1:14" x14ac:dyDescent="0.25">
      <c r="A1019" s="22">
        <v>5095</v>
      </c>
      <c r="B1019" s="3">
        <v>34704</v>
      </c>
      <c r="C1019" s="3">
        <v>43838</v>
      </c>
      <c r="D1019" s="2">
        <f t="shared" si="31"/>
        <v>25</v>
      </c>
      <c r="E1019" s="4" t="str" cm="1">
        <f t="array" ref="E1019">_xlfn.IFS(
D1019&lt;=5,"Newcomer",
D1019&lt;=10,"Proficient",
D1019&gt;10,"Expert"
)</f>
        <v>Expert</v>
      </c>
      <c r="F1019" s="2" t="s">
        <v>91</v>
      </c>
      <c r="G1019" s="5" t="s">
        <v>47</v>
      </c>
      <c r="H1019" s="5" t="s">
        <v>95</v>
      </c>
      <c r="I1019" s="2">
        <v>29</v>
      </c>
      <c r="J1019" s="2" t="s">
        <v>24</v>
      </c>
      <c r="K1019" s="2" t="s">
        <v>25</v>
      </c>
      <c r="L1019" s="2" t="s">
        <v>96</v>
      </c>
      <c r="M1019" s="4" t="str">
        <f t="shared" si="30"/>
        <v>Involuntary</v>
      </c>
      <c r="N1019" s="23" t="s">
        <v>26</v>
      </c>
    </row>
    <row r="1020" spans="1:14" x14ac:dyDescent="0.25">
      <c r="A1020" s="22">
        <v>5096</v>
      </c>
      <c r="B1020" s="3">
        <v>35014</v>
      </c>
      <c r="C1020" s="3">
        <v>43916</v>
      </c>
      <c r="D1020" s="2">
        <f t="shared" si="31"/>
        <v>25</v>
      </c>
      <c r="E1020" s="4" t="str" cm="1">
        <f t="array" ref="E1020">_xlfn.IFS(
D1020&lt;=5,"Newcomer",
D1020&lt;=10,"Proficient",
D1020&gt;10,"Expert"
)</f>
        <v>Expert</v>
      </c>
      <c r="F1020" s="2" t="s">
        <v>14</v>
      </c>
      <c r="G1020" s="5" t="s">
        <v>35</v>
      </c>
      <c r="H1020" s="5" t="s">
        <v>76</v>
      </c>
      <c r="I1020" s="2">
        <v>35</v>
      </c>
      <c r="J1020" s="2" t="s">
        <v>24</v>
      </c>
      <c r="K1020" s="2" t="s">
        <v>25</v>
      </c>
      <c r="L1020" s="2" t="s">
        <v>96</v>
      </c>
      <c r="M1020" s="4" t="str">
        <f t="shared" si="30"/>
        <v>Involuntary</v>
      </c>
      <c r="N1020" s="23" t="s">
        <v>26</v>
      </c>
    </row>
    <row r="1021" spans="1:14" x14ac:dyDescent="0.25">
      <c r="A1021" s="22">
        <v>5097</v>
      </c>
      <c r="B1021" s="3">
        <v>33616</v>
      </c>
      <c r="C1021" s="3">
        <v>43938</v>
      </c>
      <c r="D1021" s="2">
        <f t="shared" si="31"/>
        <v>28</v>
      </c>
      <c r="E1021" s="4" t="str" cm="1">
        <f t="array" ref="E1021">_xlfn.IFS(
D1021&lt;=5,"Newcomer",
D1021&lt;=10,"Proficient",
D1021&gt;10,"Expert"
)</f>
        <v>Expert</v>
      </c>
      <c r="F1021" s="2" t="s">
        <v>69</v>
      </c>
      <c r="G1021" s="5" t="s">
        <v>42</v>
      </c>
      <c r="H1021" s="5" t="s">
        <v>105</v>
      </c>
      <c r="I1021" s="2">
        <v>28</v>
      </c>
      <c r="J1021" s="2" t="s">
        <v>24</v>
      </c>
      <c r="K1021" s="2" t="s">
        <v>25</v>
      </c>
      <c r="L1021" s="2" t="s">
        <v>96</v>
      </c>
      <c r="M1021" s="4" t="str">
        <f t="shared" si="30"/>
        <v>Involuntary</v>
      </c>
      <c r="N1021" s="23" t="s">
        <v>26</v>
      </c>
    </row>
    <row r="1022" spans="1:14" x14ac:dyDescent="0.25">
      <c r="A1022" s="22">
        <v>5098</v>
      </c>
      <c r="B1022" s="3">
        <v>40037</v>
      </c>
      <c r="C1022" s="3">
        <v>44039</v>
      </c>
      <c r="D1022" s="2">
        <f t="shared" si="31"/>
        <v>11</v>
      </c>
      <c r="E1022" s="4" t="str" cm="1">
        <f t="array" ref="E1022">_xlfn.IFS(
D1022&lt;=5,"Newcomer",
D1022&lt;=10,"Proficient",
D1022&gt;10,"Expert"
)</f>
        <v>Expert</v>
      </c>
      <c r="F1022" s="2" t="s">
        <v>101</v>
      </c>
      <c r="G1022" s="5" t="s">
        <v>42</v>
      </c>
      <c r="H1022" s="5" t="s">
        <v>105</v>
      </c>
      <c r="I1022" s="2">
        <v>38</v>
      </c>
      <c r="J1022" s="2" t="s">
        <v>17</v>
      </c>
      <c r="K1022" s="2" t="s">
        <v>18</v>
      </c>
      <c r="L1022" s="2" t="s">
        <v>96</v>
      </c>
      <c r="M1022" s="4" t="str">
        <f t="shared" si="30"/>
        <v>Involuntary</v>
      </c>
      <c r="N1022" s="23" t="s">
        <v>26</v>
      </c>
    </row>
    <row r="1023" spans="1:14" x14ac:dyDescent="0.25">
      <c r="A1023" s="22">
        <v>5099</v>
      </c>
      <c r="B1023" s="3">
        <v>38924</v>
      </c>
      <c r="C1023" s="3">
        <v>44160</v>
      </c>
      <c r="D1023" s="2">
        <f t="shared" si="31"/>
        <v>14</v>
      </c>
      <c r="E1023" s="4" t="str" cm="1">
        <f t="array" ref="E1023">_xlfn.IFS(
D1023&lt;=5,"Newcomer",
D1023&lt;=10,"Proficient",
D1023&gt;10,"Expert"
)</f>
        <v>Expert</v>
      </c>
      <c r="F1023" s="2" t="s">
        <v>30</v>
      </c>
      <c r="G1023" s="5" t="s">
        <v>42</v>
      </c>
      <c r="H1023" s="5" t="s">
        <v>105</v>
      </c>
      <c r="I1023" s="2">
        <v>37</v>
      </c>
      <c r="J1023" s="2" t="s">
        <v>17</v>
      </c>
      <c r="K1023" s="2" t="s">
        <v>18</v>
      </c>
      <c r="L1023" s="2" t="s">
        <v>96</v>
      </c>
      <c r="M1023" s="4" t="str">
        <f t="shared" si="30"/>
        <v>Involuntary</v>
      </c>
      <c r="N1023" s="23" t="s">
        <v>26</v>
      </c>
    </row>
    <row r="1024" spans="1:14" x14ac:dyDescent="0.25">
      <c r="A1024" s="22">
        <v>5104</v>
      </c>
      <c r="B1024" s="3">
        <v>37133</v>
      </c>
      <c r="C1024" s="3">
        <v>43919</v>
      </c>
      <c r="D1024" s="2">
        <f t="shared" si="31"/>
        <v>19</v>
      </c>
      <c r="E1024" s="4" t="str" cm="1">
        <f t="array" ref="E1024">_xlfn.IFS(
D1024&lt;=5,"Newcomer",
D1024&lt;=10,"Proficient",
D1024&gt;10,"Expert"
)</f>
        <v>Expert</v>
      </c>
      <c r="F1024" s="2" t="s">
        <v>78</v>
      </c>
      <c r="G1024" s="5" t="s">
        <v>42</v>
      </c>
      <c r="H1024" s="5" t="s">
        <v>105</v>
      </c>
      <c r="I1024" s="2">
        <v>21</v>
      </c>
      <c r="J1024" s="2" t="s">
        <v>17</v>
      </c>
      <c r="K1024" s="2" t="s">
        <v>18</v>
      </c>
      <c r="L1024" s="2" t="s">
        <v>96</v>
      </c>
      <c r="M1024" s="4" t="str">
        <f t="shared" si="30"/>
        <v>Involuntary</v>
      </c>
      <c r="N1024" s="23" t="s">
        <v>26</v>
      </c>
    </row>
    <row r="1025" spans="1:14" x14ac:dyDescent="0.25">
      <c r="A1025" s="22">
        <v>5108</v>
      </c>
      <c r="B1025" s="3">
        <v>34378</v>
      </c>
      <c r="C1025" s="3">
        <v>44005</v>
      </c>
      <c r="D1025" s="2">
        <f t="shared" si="31"/>
        <v>26</v>
      </c>
      <c r="E1025" s="4" t="str" cm="1">
        <f t="array" ref="E1025">_xlfn.IFS(
D1025&lt;=5,"Newcomer",
D1025&lt;=10,"Proficient",
D1025&gt;10,"Expert"
)</f>
        <v>Expert</v>
      </c>
      <c r="F1025" s="2" t="s">
        <v>49</v>
      </c>
      <c r="G1025" s="5" t="s">
        <v>47</v>
      </c>
      <c r="H1025" s="5" t="s">
        <v>95</v>
      </c>
      <c r="I1025" s="2">
        <v>12</v>
      </c>
      <c r="J1025" s="2" t="s">
        <v>24</v>
      </c>
      <c r="K1025" s="2" t="s">
        <v>25</v>
      </c>
      <c r="L1025" s="2" t="s">
        <v>19</v>
      </c>
      <c r="M1025" s="4" t="str">
        <f t="shared" si="30"/>
        <v>Voluntary</v>
      </c>
      <c r="N1025" s="23" t="s">
        <v>26</v>
      </c>
    </row>
    <row r="1026" spans="1:14" x14ac:dyDescent="0.25">
      <c r="A1026" s="22">
        <v>5109</v>
      </c>
      <c r="B1026" s="3">
        <v>36624</v>
      </c>
      <c r="C1026" s="3">
        <v>44019</v>
      </c>
      <c r="D1026" s="2">
        <f t="shared" si="31"/>
        <v>20</v>
      </c>
      <c r="E1026" s="4" t="str" cm="1">
        <f t="array" ref="E1026">_xlfn.IFS(
D1026&lt;=5,"Newcomer",
D1026&lt;=10,"Proficient",
D1026&gt;10,"Expert"
)</f>
        <v>Expert</v>
      </c>
      <c r="F1026" s="2" t="s">
        <v>73</v>
      </c>
      <c r="G1026" s="5" t="s">
        <v>62</v>
      </c>
      <c r="H1026" s="5" t="s">
        <v>63</v>
      </c>
      <c r="I1026" s="2">
        <v>32</v>
      </c>
      <c r="J1026" s="2" t="s">
        <v>17</v>
      </c>
      <c r="K1026" s="2" t="s">
        <v>18</v>
      </c>
      <c r="L1026" s="2" t="s">
        <v>50</v>
      </c>
      <c r="M1026" s="4" t="str">
        <f t="shared" ref="M1026:M1089" si="32">IF(OR(L1026="Retirement",L1026="Resignation"),"Voluntary","Involuntary")</f>
        <v>Voluntary</v>
      </c>
      <c r="N1026" s="23" t="s">
        <v>26</v>
      </c>
    </row>
    <row r="1027" spans="1:14" x14ac:dyDescent="0.25">
      <c r="A1027" s="22">
        <v>5112</v>
      </c>
      <c r="B1027" s="3">
        <v>37841</v>
      </c>
      <c r="C1027" s="3">
        <v>44165</v>
      </c>
      <c r="D1027" s="2">
        <f t="shared" ref="D1027:D1090" si="33">YEAR(C1027)-YEAR(B1027)</f>
        <v>17</v>
      </c>
      <c r="E1027" s="4" t="str" cm="1">
        <f t="array" ref="E1027">_xlfn.IFS(
D1027&lt;=5,"Newcomer",
D1027&lt;=10,"Proficient",
D1027&gt;10,"Expert"
)</f>
        <v>Expert</v>
      </c>
      <c r="F1027" s="2" t="s">
        <v>14</v>
      </c>
      <c r="G1027" s="5" t="s">
        <v>35</v>
      </c>
      <c r="H1027" s="5" t="s">
        <v>76</v>
      </c>
      <c r="I1027" s="2">
        <v>35</v>
      </c>
      <c r="J1027" s="2" t="s">
        <v>17</v>
      </c>
      <c r="K1027" s="2" t="s">
        <v>18</v>
      </c>
      <c r="L1027" s="2" t="s">
        <v>19</v>
      </c>
      <c r="M1027" s="4" t="str">
        <f t="shared" si="32"/>
        <v>Voluntary</v>
      </c>
      <c r="N1027" s="23" t="s">
        <v>26</v>
      </c>
    </row>
    <row r="1028" spans="1:14" x14ac:dyDescent="0.25">
      <c r="A1028" s="22">
        <v>5121</v>
      </c>
      <c r="B1028" s="3">
        <v>40148</v>
      </c>
      <c r="C1028" s="3">
        <v>44118</v>
      </c>
      <c r="D1028" s="2">
        <f t="shared" si="33"/>
        <v>11</v>
      </c>
      <c r="E1028" s="4" t="str" cm="1">
        <f t="array" ref="E1028">_xlfn.IFS(
D1028&lt;=5,"Newcomer",
D1028&lt;=10,"Proficient",
D1028&gt;10,"Expert"
)</f>
        <v>Expert</v>
      </c>
      <c r="F1028" s="2" t="s">
        <v>106</v>
      </c>
      <c r="G1028" s="5" t="s">
        <v>35</v>
      </c>
      <c r="H1028" s="5" t="s">
        <v>76</v>
      </c>
      <c r="I1028" s="2">
        <v>20</v>
      </c>
      <c r="J1028" s="2" t="s">
        <v>24</v>
      </c>
      <c r="K1028" s="2" t="s">
        <v>25</v>
      </c>
      <c r="L1028" s="2" t="s">
        <v>96</v>
      </c>
      <c r="M1028" s="4" t="str">
        <f t="shared" si="32"/>
        <v>Involuntary</v>
      </c>
      <c r="N1028" s="23" t="s">
        <v>26</v>
      </c>
    </row>
    <row r="1029" spans="1:14" x14ac:dyDescent="0.25">
      <c r="A1029" s="22">
        <v>5125</v>
      </c>
      <c r="B1029" s="3">
        <v>36836</v>
      </c>
      <c r="C1029" s="3">
        <v>44036</v>
      </c>
      <c r="D1029" s="2">
        <f t="shared" si="33"/>
        <v>20</v>
      </c>
      <c r="E1029" s="4" t="str" cm="1">
        <f t="array" ref="E1029">_xlfn.IFS(
D1029&lt;=5,"Newcomer",
D1029&lt;=10,"Proficient",
D1029&gt;10,"Expert"
)</f>
        <v>Expert</v>
      </c>
      <c r="F1029" s="2" t="s">
        <v>108</v>
      </c>
      <c r="G1029" s="5" t="s">
        <v>62</v>
      </c>
      <c r="H1029" s="5" t="s">
        <v>63</v>
      </c>
      <c r="I1029" s="2">
        <v>14</v>
      </c>
      <c r="J1029" s="2" t="s">
        <v>17</v>
      </c>
      <c r="K1029" s="2" t="s">
        <v>18</v>
      </c>
      <c r="L1029" s="2" t="s">
        <v>96</v>
      </c>
      <c r="M1029" s="4" t="str">
        <f t="shared" si="32"/>
        <v>Involuntary</v>
      </c>
      <c r="N1029" s="23" t="s">
        <v>26</v>
      </c>
    </row>
    <row r="1030" spans="1:14" x14ac:dyDescent="0.25">
      <c r="A1030" s="22">
        <v>5156</v>
      </c>
      <c r="B1030" s="3">
        <v>38099</v>
      </c>
      <c r="C1030" s="3">
        <v>43908</v>
      </c>
      <c r="D1030" s="2">
        <f t="shared" si="33"/>
        <v>16</v>
      </c>
      <c r="E1030" s="4" t="str" cm="1">
        <f t="array" ref="E1030">_xlfn.IFS(
D1030&lt;=5,"Newcomer",
D1030&lt;=10,"Proficient",
D1030&gt;10,"Expert"
)</f>
        <v>Expert</v>
      </c>
      <c r="F1030" s="2" t="s">
        <v>74</v>
      </c>
      <c r="G1030" s="5" t="s">
        <v>71</v>
      </c>
      <c r="H1030" s="5" t="s">
        <v>116</v>
      </c>
      <c r="I1030" s="2">
        <v>9</v>
      </c>
      <c r="J1030" s="2" t="s">
        <v>24</v>
      </c>
      <c r="K1030" s="2" t="s">
        <v>25</v>
      </c>
      <c r="L1030" s="2" t="s">
        <v>50</v>
      </c>
      <c r="M1030" s="4" t="str">
        <f t="shared" si="32"/>
        <v>Voluntary</v>
      </c>
      <c r="N1030" s="23" t="s">
        <v>26</v>
      </c>
    </row>
    <row r="1031" spans="1:14" x14ac:dyDescent="0.25">
      <c r="A1031" s="22">
        <v>5178</v>
      </c>
      <c r="B1031" s="3">
        <v>38869</v>
      </c>
      <c r="C1031" s="3">
        <v>43951</v>
      </c>
      <c r="D1031" s="2">
        <f t="shared" si="33"/>
        <v>14</v>
      </c>
      <c r="E1031" s="4" t="str" cm="1">
        <f t="array" ref="E1031">_xlfn.IFS(
D1031&lt;=5,"Newcomer",
D1031&lt;=10,"Proficient",
D1031&gt;10,"Expert"
)</f>
        <v>Expert</v>
      </c>
      <c r="F1031" s="2" t="s">
        <v>100</v>
      </c>
      <c r="G1031" s="5" t="s">
        <v>35</v>
      </c>
      <c r="H1031" s="5" t="s">
        <v>76</v>
      </c>
      <c r="I1031" s="2">
        <v>13</v>
      </c>
      <c r="J1031" s="2" t="s">
        <v>17</v>
      </c>
      <c r="K1031" s="2" t="s">
        <v>18</v>
      </c>
      <c r="L1031" s="2" t="s">
        <v>96</v>
      </c>
      <c r="M1031" s="4" t="str">
        <f t="shared" si="32"/>
        <v>Involuntary</v>
      </c>
      <c r="N1031" s="23" t="s">
        <v>26</v>
      </c>
    </row>
    <row r="1032" spans="1:14" x14ac:dyDescent="0.25">
      <c r="A1032" s="22">
        <v>5200</v>
      </c>
      <c r="B1032" s="3">
        <v>39808</v>
      </c>
      <c r="C1032" s="3">
        <v>43943</v>
      </c>
      <c r="D1032" s="2">
        <f t="shared" si="33"/>
        <v>12</v>
      </c>
      <c r="E1032" s="4" t="str" cm="1">
        <f t="array" ref="E1032">_xlfn.IFS(
D1032&lt;=5,"Newcomer",
D1032&lt;=10,"Proficient",
D1032&gt;10,"Expert"
)</f>
        <v>Expert</v>
      </c>
      <c r="F1032" s="2" t="s">
        <v>106</v>
      </c>
      <c r="G1032" s="5" t="s">
        <v>35</v>
      </c>
      <c r="H1032" s="5" t="s">
        <v>76</v>
      </c>
      <c r="I1032" s="2">
        <v>20</v>
      </c>
      <c r="J1032" s="2" t="s">
        <v>17</v>
      </c>
      <c r="K1032" s="2" t="s">
        <v>18</v>
      </c>
      <c r="L1032" s="2" t="s">
        <v>96</v>
      </c>
      <c r="M1032" s="4" t="str">
        <f t="shared" si="32"/>
        <v>Involuntary</v>
      </c>
      <c r="N1032" s="23" t="s">
        <v>26</v>
      </c>
    </row>
    <row r="1033" spans="1:14" x14ac:dyDescent="0.25">
      <c r="A1033" s="22">
        <v>5218</v>
      </c>
      <c r="B1033" s="3">
        <v>40729</v>
      </c>
      <c r="C1033" s="3">
        <v>43991</v>
      </c>
      <c r="D1033" s="2">
        <f t="shared" si="33"/>
        <v>9</v>
      </c>
      <c r="E1033" s="4" t="str" cm="1">
        <f t="array" ref="E1033">_xlfn.IFS(
D1033&lt;=5,"Newcomer",
D1033&lt;=10,"Proficient",
D1033&gt;10,"Expert"
)</f>
        <v>Proficient</v>
      </c>
      <c r="F1033" s="2" t="s">
        <v>107</v>
      </c>
      <c r="G1033" s="5" t="s">
        <v>42</v>
      </c>
      <c r="H1033" s="5" t="s">
        <v>105</v>
      </c>
      <c r="I1033" s="2">
        <v>11</v>
      </c>
      <c r="J1033" s="2" t="s">
        <v>24</v>
      </c>
      <c r="K1033" s="2" t="s">
        <v>25</v>
      </c>
      <c r="L1033" s="2" t="s">
        <v>96</v>
      </c>
      <c r="M1033" s="4" t="str">
        <f t="shared" si="32"/>
        <v>Involuntary</v>
      </c>
      <c r="N1033" s="23" t="s">
        <v>26</v>
      </c>
    </row>
    <row r="1034" spans="1:14" x14ac:dyDescent="0.25">
      <c r="A1034" s="22">
        <v>5236</v>
      </c>
      <c r="B1034" s="3">
        <v>35463</v>
      </c>
      <c r="C1034" s="3">
        <v>44021</v>
      </c>
      <c r="D1034" s="2">
        <f t="shared" si="33"/>
        <v>23</v>
      </c>
      <c r="E1034" s="4" t="str" cm="1">
        <f t="array" ref="E1034">_xlfn.IFS(
D1034&lt;=5,"Newcomer",
D1034&lt;=10,"Proficient",
D1034&gt;10,"Expert"
)</f>
        <v>Expert</v>
      </c>
      <c r="F1034" s="2" t="s">
        <v>117</v>
      </c>
      <c r="G1034" s="5" t="s">
        <v>62</v>
      </c>
      <c r="H1034" s="5" t="s">
        <v>63</v>
      </c>
      <c r="I1034" s="2">
        <v>10</v>
      </c>
      <c r="J1034" s="2" t="s">
        <v>17</v>
      </c>
      <c r="K1034" s="2" t="s">
        <v>18</v>
      </c>
      <c r="L1034" s="2" t="s">
        <v>96</v>
      </c>
      <c r="M1034" s="4" t="str">
        <f t="shared" si="32"/>
        <v>Involuntary</v>
      </c>
      <c r="N1034" s="23" t="s">
        <v>26</v>
      </c>
    </row>
    <row r="1035" spans="1:14" x14ac:dyDescent="0.25">
      <c r="A1035" s="22">
        <v>5245</v>
      </c>
      <c r="B1035" s="3">
        <v>34694</v>
      </c>
      <c r="C1035" s="3">
        <v>44054</v>
      </c>
      <c r="D1035" s="2">
        <f t="shared" si="33"/>
        <v>26</v>
      </c>
      <c r="E1035" s="4" t="str" cm="1">
        <f t="array" ref="E1035">_xlfn.IFS(
D1035&lt;=5,"Newcomer",
D1035&lt;=10,"Proficient",
D1035&gt;10,"Expert"
)</f>
        <v>Expert</v>
      </c>
      <c r="F1035" s="2" t="s">
        <v>27</v>
      </c>
      <c r="G1035" s="5" t="s">
        <v>47</v>
      </c>
      <c r="H1035" s="5" t="s">
        <v>95</v>
      </c>
      <c r="I1035" s="2">
        <v>16</v>
      </c>
      <c r="J1035" s="2" t="s">
        <v>24</v>
      </c>
      <c r="K1035" s="2" t="s">
        <v>25</v>
      </c>
      <c r="L1035" s="2" t="s">
        <v>50</v>
      </c>
      <c r="M1035" s="4" t="str">
        <f t="shared" si="32"/>
        <v>Voluntary</v>
      </c>
      <c r="N1035" s="23" t="s">
        <v>26</v>
      </c>
    </row>
    <row r="1036" spans="1:14" x14ac:dyDescent="0.25">
      <c r="A1036" s="22">
        <v>5246</v>
      </c>
      <c r="B1036" s="3">
        <v>40589</v>
      </c>
      <c r="C1036" s="3">
        <v>43872</v>
      </c>
      <c r="D1036" s="2">
        <f t="shared" si="33"/>
        <v>9</v>
      </c>
      <c r="E1036" s="4" t="str" cm="1">
        <f t="array" ref="E1036">_xlfn.IFS(
D1036&lt;=5,"Newcomer",
D1036&lt;=10,"Proficient",
D1036&gt;10,"Expert"
)</f>
        <v>Proficient</v>
      </c>
      <c r="F1036" s="2" t="s">
        <v>100</v>
      </c>
      <c r="G1036" s="5" t="s">
        <v>35</v>
      </c>
      <c r="H1036" s="5" t="s">
        <v>76</v>
      </c>
      <c r="I1036" s="2">
        <v>13</v>
      </c>
      <c r="J1036" s="2" t="s">
        <v>17</v>
      </c>
      <c r="K1036" s="2" t="s">
        <v>18</v>
      </c>
      <c r="L1036" s="2" t="s">
        <v>96</v>
      </c>
      <c r="M1036" s="4" t="str">
        <f t="shared" si="32"/>
        <v>Involuntary</v>
      </c>
      <c r="N1036" s="23" t="s">
        <v>26</v>
      </c>
    </row>
    <row r="1037" spans="1:14" x14ac:dyDescent="0.25">
      <c r="A1037" s="22">
        <v>5251</v>
      </c>
      <c r="B1037" s="3">
        <v>33324</v>
      </c>
      <c r="C1037" s="3">
        <v>44067</v>
      </c>
      <c r="D1037" s="2">
        <f t="shared" si="33"/>
        <v>29</v>
      </c>
      <c r="E1037" s="4" t="str" cm="1">
        <f t="array" ref="E1037">_xlfn.IFS(
D1037&lt;=5,"Newcomer",
D1037&lt;=10,"Proficient",
D1037&gt;10,"Expert"
)</f>
        <v>Expert</v>
      </c>
      <c r="F1037" s="2" t="s">
        <v>86</v>
      </c>
      <c r="G1037" s="5" t="s">
        <v>42</v>
      </c>
      <c r="H1037" s="5" t="s">
        <v>105</v>
      </c>
      <c r="I1037" s="2">
        <v>8</v>
      </c>
      <c r="J1037" s="2" t="s">
        <v>24</v>
      </c>
      <c r="K1037" s="2" t="s">
        <v>25</v>
      </c>
      <c r="L1037" s="2" t="s">
        <v>50</v>
      </c>
      <c r="M1037" s="4" t="str">
        <f t="shared" si="32"/>
        <v>Voluntary</v>
      </c>
      <c r="N1037" s="23" t="s">
        <v>26</v>
      </c>
    </row>
    <row r="1038" spans="1:14" x14ac:dyDescent="0.25">
      <c r="A1038" s="22">
        <v>5263</v>
      </c>
      <c r="B1038" s="3">
        <v>38511</v>
      </c>
      <c r="C1038" s="3">
        <v>44040</v>
      </c>
      <c r="D1038" s="2">
        <f t="shared" si="33"/>
        <v>15</v>
      </c>
      <c r="E1038" s="4" t="str" cm="1">
        <f t="array" ref="E1038">_xlfn.IFS(
D1038&lt;=5,"Newcomer",
D1038&lt;=10,"Proficient",
D1038&gt;10,"Expert"
)</f>
        <v>Expert</v>
      </c>
      <c r="F1038" s="2" t="s">
        <v>85</v>
      </c>
      <c r="G1038" s="5" t="s">
        <v>71</v>
      </c>
      <c r="H1038" s="5" t="s">
        <v>116</v>
      </c>
      <c r="I1038" s="2">
        <v>3</v>
      </c>
      <c r="J1038" s="2" t="s">
        <v>24</v>
      </c>
      <c r="K1038" s="2" t="s">
        <v>25</v>
      </c>
      <c r="L1038" s="2" t="s">
        <v>50</v>
      </c>
      <c r="M1038" s="4" t="str">
        <f t="shared" si="32"/>
        <v>Voluntary</v>
      </c>
      <c r="N1038" s="23" t="s">
        <v>26</v>
      </c>
    </row>
    <row r="1039" spans="1:14" x14ac:dyDescent="0.25">
      <c r="A1039" s="22">
        <v>5279</v>
      </c>
      <c r="B1039" s="3">
        <v>40953</v>
      </c>
      <c r="C1039" s="3">
        <v>44047</v>
      </c>
      <c r="D1039" s="2">
        <f t="shared" si="33"/>
        <v>8</v>
      </c>
      <c r="E1039" s="4" t="str" cm="1">
        <f t="array" ref="E1039">_xlfn.IFS(
D1039&lt;=5,"Newcomer",
D1039&lt;=10,"Proficient",
D1039&gt;10,"Expert"
)</f>
        <v>Proficient</v>
      </c>
      <c r="F1039" s="2" t="s">
        <v>14</v>
      </c>
      <c r="G1039" s="5" t="s">
        <v>71</v>
      </c>
      <c r="H1039" s="5" t="s">
        <v>116</v>
      </c>
      <c r="I1039" s="2">
        <v>42</v>
      </c>
      <c r="J1039" s="2" t="s">
        <v>24</v>
      </c>
      <c r="K1039" s="2" t="s">
        <v>25</v>
      </c>
      <c r="L1039" s="2" t="s">
        <v>50</v>
      </c>
      <c r="M1039" s="4" t="str">
        <f t="shared" si="32"/>
        <v>Voluntary</v>
      </c>
      <c r="N1039" s="23" t="s">
        <v>26</v>
      </c>
    </row>
    <row r="1040" spans="1:14" x14ac:dyDescent="0.25">
      <c r="A1040" s="22">
        <v>5288</v>
      </c>
      <c r="B1040" s="3">
        <v>33247</v>
      </c>
      <c r="C1040" s="3">
        <v>44071</v>
      </c>
      <c r="D1040" s="2">
        <f t="shared" si="33"/>
        <v>29</v>
      </c>
      <c r="E1040" s="4" t="str" cm="1">
        <f t="array" ref="E1040">_xlfn.IFS(
D1040&lt;=5,"Newcomer",
D1040&lt;=10,"Proficient",
D1040&gt;10,"Expert"
)</f>
        <v>Expert</v>
      </c>
      <c r="F1040" s="2" t="s">
        <v>118</v>
      </c>
      <c r="G1040" s="5" t="s">
        <v>62</v>
      </c>
      <c r="H1040" s="5" t="s">
        <v>63</v>
      </c>
      <c r="I1040" s="2">
        <v>4</v>
      </c>
      <c r="J1040" s="2" t="s">
        <v>24</v>
      </c>
      <c r="K1040" s="2" t="s">
        <v>25</v>
      </c>
      <c r="L1040" s="2" t="s">
        <v>96</v>
      </c>
      <c r="M1040" s="4" t="str">
        <f t="shared" si="32"/>
        <v>Involuntary</v>
      </c>
      <c r="N1040" s="23" t="s">
        <v>26</v>
      </c>
    </row>
    <row r="1041" spans="1:14" x14ac:dyDescent="0.25">
      <c r="A1041" s="22">
        <v>5303</v>
      </c>
      <c r="B1041" s="3">
        <v>38503</v>
      </c>
      <c r="C1041" s="3">
        <v>44076</v>
      </c>
      <c r="D1041" s="2">
        <f t="shared" si="33"/>
        <v>15</v>
      </c>
      <c r="E1041" s="4" t="str" cm="1">
        <f t="array" ref="E1041">_xlfn.IFS(
D1041&lt;=5,"Newcomer",
D1041&lt;=10,"Proficient",
D1041&gt;10,"Expert"
)</f>
        <v>Expert</v>
      </c>
      <c r="F1041" s="2" t="s">
        <v>44</v>
      </c>
      <c r="G1041" s="5" t="s">
        <v>62</v>
      </c>
      <c r="H1041" s="5" t="s">
        <v>63</v>
      </c>
      <c r="I1041" s="2">
        <v>18</v>
      </c>
      <c r="J1041" s="2" t="s">
        <v>17</v>
      </c>
      <c r="K1041" s="2" t="s">
        <v>18</v>
      </c>
      <c r="L1041" s="2" t="s">
        <v>50</v>
      </c>
      <c r="M1041" s="4" t="str">
        <f t="shared" si="32"/>
        <v>Voluntary</v>
      </c>
      <c r="N1041" s="23" t="s">
        <v>26</v>
      </c>
    </row>
    <row r="1042" spans="1:14" x14ac:dyDescent="0.25">
      <c r="A1042" s="22">
        <v>5347</v>
      </c>
      <c r="B1042" s="3">
        <v>34744</v>
      </c>
      <c r="C1042" s="3">
        <v>44106</v>
      </c>
      <c r="D1042" s="2">
        <f t="shared" si="33"/>
        <v>25</v>
      </c>
      <c r="E1042" s="4" t="str" cm="1">
        <f t="array" ref="E1042">_xlfn.IFS(
D1042&lt;=5,"Newcomer",
D1042&lt;=10,"Proficient",
D1042&gt;10,"Expert"
)</f>
        <v>Expert</v>
      </c>
      <c r="F1042" s="2" t="s">
        <v>73</v>
      </c>
      <c r="G1042" s="5" t="s">
        <v>62</v>
      </c>
      <c r="H1042" s="5" t="s">
        <v>63</v>
      </c>
      <c r="I1042" s="2">
        <v>32</v>
      </c>
      <c r="J1042" s="2" t="s">
        <v>24</v>
      </c>
      <c r="K1042" s="2" t="s">
        <v>25</v>
      </c>
      <c r="L1042" s="2" t="s">
        <v>50</v>
      </c>
      <c r="M1042" s="4" t="str">
        <f t="shared" si="32"/>
        <v>Voluntary</v>
      </c>
      <c r="N1042" s="23" t="s">
        <v>26</v>
      </c>
    </row>
    <row r="1043" spans="1:14" x14ac:dyDescent="0.25">
      <c r="A1043" s="22">
        <v>5356</v>
      </c>
      <c r="B1043" s="3">
        <v>37350</v>
      </c>
      <c r="C1043" s="3">
        <v>43926</v>
      </c>
      <c r="D1043" s="2">
        <f t="shared" si="33"/>
        <v>18</v>
      </c>
      <c r="E1043" s="4" t="str" cm="1">
        <f t="array" ref="E1043">_xlfn.IFS(
D1043&lt;=5,"Newcomer",
D1043&lt;=10,"Proficient",
D1043&gt;10,"Expert"
)</f>
        <v>Expert</v>
      </c>
      <c r="F1043" s="2" t="s">
        <v>44</v>
      </c>
      <c r="G1043" s="5" t="s">
        <v>62</v>
      </c>
      <c r="H1043" s="5" t="s">
        <v>63</v>
      </c>
      <c r="I1043" s="2">
        <v>18</v>
      </c>
      <c r="J1043" s="2" t="s">
        <v>24</v>
      </c>
      <c r="K1043" s="2" t="s">
        <v>25</v>
      </c>
      <c r="L1043" s="2" t="s">
        <v>50</v>
      </c>
      <c r="M1043" s="4" t="str">
        <f t="shared" si="32"/>
        <v>Voluntary</v>
      </c>
      <c r="N1043" s="23" t="s">
        <v>26</v>
      </c>
    </row>
    <row r="1044" spans="1:14" x14ac:dyDescent="0.25">
      <c r="A1044" s="22">
        <v>5357</v>
      </c>
      <c r="B1044" s="3">
        <v>38840</v>
      </c>
      <c r="C1044" s="3">
        <v>43944</v>
      </c>
      <c r="D1044" s="2">
        <f t="shared" si="33"/>
        <v>14</v>
      </c>
      <c r="E1044" s="4" t="str" cm="1">
        <f t="array" ref="E1044">_xlfn.IFS(
D1044&lt;=5,"Newcomer",
D1044&lt;=10,"Proficient",
D1044&gt;10,"Expert"
)</f>
        <v>Expert</v>
      </c>
      <c r="F1044" s="2" t="s">
        <v>49</v>
      </c>
      <c r="G1044" s="5" t="s">
        <v>47</v>
      </c>
      <c r="H1044" s="5" t="s">
        <v>95</v>
      </c>
      <c r="I1044" s="2">
        <v>12</v>
      </c>
      <c r="J1044" s="2" t="s">
        <v>17</v>
      </c>
      <c r="K1044" s="2" t="s">
        <v>18</v>
      </c>
      <c r="L1044" s="2" t="s">
        <v>50</v>
      </c>
      <c r="M1044" s="4" t="str">
        <f t="shared" si="32"/>
        <v>Voluntary</v>
      </c>
      <c r="N1044" s="23" t="s">
        <v>26</v>
      </c>
    </row>
    <row r="1045" spans="1:14" x14ac:dyDescent="0.25">
      <c r="A1045" s="22">
        <v>5361</v>
      </c>
      <c r="B1045" s="3">
        <v>38353</v>
      </c>
      <c r="C1045" s="3">
        <v>44143</v>
      </c>
      <c r="D1045" s="2">
        <f t="shared" si="33"/>
        <v>15</v>
      </c>
      <c r="E1045" s="4" t="str" cm="1">
        <f t="array" ref="E1045">_xlfn.IFS(
D1045&lt;=5,"Newcomer",
D1045&lt;=10,"Proficient",
D1045&gt;10,"Expert"
)</f>
        <v>Expert</v>
      </c>
      <c r="F1045" s="2" t="s">
        <v>107</v>
      </c>
      <c r="G1045" s="5" t="s">
        <v>42</v>
      </c>
      <c r="H1045" s="5" t="s">
        <v>105</v>
      </c>
      <c r="I1045" s="2">
        <v>11</v>
      </c>
      <c r="J1045" s="2" t="s">
        <v>24</v>
      </c>
      <c r="K1045" s="2" t="s">
        <v>25</v>
      </c>
      <c r="L1045" s="2" t="s">
        <v>96</v>
      </c>
      <c r="M1045" s="4" t="str">
        <f t="shared" si="32"/>
        <v>Involuntary</v>
      </c>
      <c r="N1045" s="23" t="s">
        <v>26</v>
      </c>
    </row>
    <row r="1046" spans="1:14" x14ac:dyDescent="0.25">
      <c r="A1046" s="22">
        <v>5366</v>
      </c>
      <c r="B1046" s="3">
        <v>41025</v>
      </c>
      <c r="C1046" s="3">
        <v>43849</v>
      </c>
      <c r="D1046" s="2">
        <f t="shared" si="33"/>
        <v>8</v>
      </c>
      <c r="E1046" s="4" t="str" cm="1">
        <f t="array" ref="E1046">_xlfn.IFS(
D1046&lt;=5,"Newcomer",
D1046&lt;=10,"Proficient",
D1046&gt;10,"Expert"
)</f>
        <v>Proficient</v>
      </c>
      <c r="F1046" s="2" t="s">
        <v>41</v>
      </c>
      <c r="G1046" s="5" t="s">
        <v>47</v>
      </c>
      <c r="H1046" s="5" t="s">
        <v>95</v>
      </c>
      <c r="I1046" s="2">
        <v>15</v>
      </c>
      <c r="J1046" s="2" t="s">
        <v>17</v>
      </c>
      <c r="K1046" s="2" t="s">
        <v>18</v>
      </c>
      <c r="L1046" s="2" t="s">
        <v>50</v>
      </c>
      <c r="M1046" s="4" t="str">
        <f t="shared" si="32"/>
        <v>Voluntary</v>
      </c>
      <c r="N1046" s="23" t="s">
        <v>26</v>
      </c>
    </row>
    <row r="1047" spans="1:14" x14ac:dyDescent="0.25">
      <c r="A1047" s="22">
        <v>5387</v>
      </c>
      <c r="B1047" s="3">
        <v>36550</v>
      </c>
      <c r="C1047" s="3">
        <v>44090</v>
      </c>
      <c r="D1047" s="2">
        <f t="shared" si="33"/>
        <v>20</v>
      </c>
      <c r="E1047" s="4" t="str" cm="1">
        <f t="array" ref="E1047">_xlfn.IFS(
D1047&lt;=5,"Newcomer",
D1047&lt;=10,"Proficient",
D1047&gt;10,"Expert"
)</f>
        <v>Expert</v>
      </c>
      <c r="F1047" s="2" t="s">
        <v>100</v>
      </c>
      <c r="G1047" s="5" t="s">
        <v>35</v>
      </c>
      <c r="H1047" s="5" t="s">
        <v>76</v>
      </c>
      <c r="I1047" s="2">
        <v>13</v>
      </c>
      <c r="J1047" s="2" t="s">
        <v>24</v>
      </c>
      <c r="K1047" s="2" t="s">
        <v>25</v>
      </c>
      <c r="L1047" s="2" t="s">
        <v>96</v>
      </c>
      <c r="M1047" s="4" t="str">
        <f t="shared" si="32"/>
        <v>Involuntary</v>
      </c>
      <c r="N1047" s="23" t="s">
        <v>26</v>
      </c>
    </row>
    <row r="1048" spans="1:14" x14ac:dyDescent="0.25">
      <c r="A1048" s="22">
        <v>5399</v>
      </c>
      <c r="B1048" s="3">
        <v>39610</v>
      </c>
      <c r="C1048" s="3">
        <v>43944</v>
      </c>
      <c r="D1048" s="2">
        <f t="shared" si="33"/>
        <v>12</v>
      </c>
      <c r="E1048" s="4" t="str" cm="1">
        <f t="array" ref="E1048">_xlfn.IFS(
D1048&lt;=5,"Newcomer",
D1048&lt;=10,"Proficient",
D1048&gt;10,"Expert"
)</f>
        <v>Expert</v>
      </c>
      <c r="F1048" s="2" t="s">
        <v>101</v>
      </c>
      <c r="G1048" s="5" t="s">
        <v>62</v>
      </c>
      <c r="H1048" s="5" t="s">
        <v>63</v>
      </c>
      <c r="I1048" s="2">
        <v>38</v>
      </c>
      <c r="J1048" s="2" t="s">
        <v>17</v>
      </c>
      <c r="K1048" s="2" t="s">
        <v>18</v>
      </c>
      <c r="L1048" s="2" t="s">
        <v>50</v>
      </c>
      <c r="M1048" s="4" t="str">
        <f t="shared" si="32"/>
        <v>Voluntary</v>
      </c>
      <c r="N1048" s="23" t="s">
        <v>26</v>
      </c>
    </row>
    <row r="1049" spans="1:14" x14ac:dyDescent="0.25">
      <c r="A1049" s="22">
        <v>5407</v>
      </c>
      <c r="B1049" s="3">
        <v>35738</v>
      </c>
      <c r="C1049" s="3">
        <v>44065</v>
      </c>
      <c r="D1049" s="2">
        <f t="shared" si="33"/>
        <v>23</v>
      </c>
      <c r="E1049" s="4" t="str" cm="1">
        <f t="array" ref="E1049">_xlfn.IFS(
D1049&lt;=5,"Newcomer",
D1049&lt;=10,"Proficient",
D1049&gt;10,"Expert"
)</f>
        <v>Expert</v>
      </c>
      <c r="F1049" s="2" t="s">
        <v>73</v>
      </c>
      <c r="G1049" s="5" t="s">
        <v>67</v>
      </c>
      <c r="H1049" s="5" t="s">
        <v>113</v>
      </c>
      <c r="I1049" s="2">
        <v>32</v>
      </c>
      <c r="J1049" s="2" t="s">
        <v>17</v>
      </c>
      <c r="K1049" s="2" t="s">
        <v>18</v>
      </c>
      <c r="L1049" s="2" t="s">
        <v>50</v>
      </c>
      <c r="M1049" s="4" t="str">
        <f t="shared" si="32"/>
        <v>Voluntary</v>
      </c>
      <c r="N1049" s="23" t="s">
        <v>26</v>
      </c>
    </row>
    <row r="1050" spans="1:14" x14ac:dyDescent="0.25">
      <c r="A1050" s="22">
        <v>5416</v>
      </c>
      <c r="B1050" s="3">
        <v>36571</v>
      </c>
      <c r="C1050" s="3">
        <v>43909</v>
      </c>
      <c r="D1050" s="2">
        <f t="shared" si="33"/>
        <v>20</v>
      </c>
      <c r="E1050" s="4" t="str" cm="1">
        <f t="array" ref="E1050">_xlfn.IFS(
D1050&lt;=5,"Newcomer",
D1050&lt;=10,"Proficient",
D1050&gt;10,"Expert"
)</f>
        <v>Expert</v>
      </c>
      <c r="F1050" s="2" t="s">
        <v>30</v>
      </c>
      <c r="G1050" s="5" t="s">
        <v>42</v>
      </c>
      <c r="H1050" s="5" t="s">
        <v>105</v>
      </c>
      <c r="I1050" s="2">
        <v>46</v>
      </c>
      <c r="J1050" s="2" t="s">
        <v>17</v>
      </c>
      <c r="K1050" s="2" t="s">
        <v>18</v>
      </c>
      <c r="L1050" s="2" t="s">
        <v>50</v>
      </c>
      <c r="M1050" s="4" t="str">
        <f t="shared" si="32"/>
        <v>Voluntary</v>
      </c>
      <c r="N1050" s="23" t="s">
        <v>26</v>
      </c>
    </row>
    <row r="1051" spans="1:14" x14ac:dyDescent="0.25">
      <c r="A1051" s="22">
        <v>5421</v>
      </c>
      <c r="B1051" s="3">
        <v>36023</v>
      </c>
      <c r="C1051" s="3">
        <v>43899</v>
      </c>
      <c r="D1051" s="2">
        <f t="shared" si="33"/>
        <v>22</v>
      </c>
      <c r="E1051" s="4" t="str" cm="1">
        <f t="array" ref="E1051">_xlfn.IFS(
D1051&lt;=5,"Newcomer",
D1051&lt;=10,"Proficient",
D1051&gt;10,"Expert"
)</f>
        <v>Expert</v>
      </c>
      <c r="F1051" s="2" t="s">
        <v>14</v>
      </c>
      <c r="G1051" s="5" t="s">
        <v>71</v>
      </c>
      <c r="H1051" s="5" t="s">
        <v>116</v>
      </c>
      <c r="I1051" s="2">
        <v>42</v>
      </c>
      <c r="J1051" s="2" t="s">
        <v>17</v>
      </c>
      <c r="K1051" s="2" t="s">
        <v>18</v>
      </c>
      <c r="L1051" s="2" t="s">
        <v>50</v>
      </c>
      <c r="M1051" s="4" t="str">
        <f t="shared" si="32"/>
        <v>Voluntary</v>
      </c>
      <c r="N1051" s="23" t="s">
        <v>26</v>
      </c>
    </row>
    <row r="1052" spans="1:14" x14ac:dyDescent="0.25">
      <c r="A1052" s="22">
        <v>5429</v>
      </c>
      <c r="B1052" s="3">
        <v>36319</v>
      </c>
      <c r="C1052" s="3">
        <v>44186</v>
      </c>
      <c r="D1052" s="2">
        <f t="shared" si="33"/>
        <v>21</v>
      </c>
      <c r="E1052" s="4" t="str" cm="1">
        <f t="array" ref="E1052">_xlfn.IFS(
D1052&lt;=5,"Newcomer",
D1052&lt;=10,"Proficient",
D1052&gt;10,"Expert"
)</f>
        <v>Expert</v>
      </c>
      <c r="F1052" s="2" t="s">
        <v>107</v>
      </c>
      <c r="G1052" s="5" t="s">
        <v>42</v>
      </c>
      <c r="H1052" s="5" t="s">
        <v>105</v>
      </c>
      <c r="I1052" s="2">
        <v>11</v>
      </c>
      <c r="J1052" s="2" t="s">
        <v>24</v>
      </c>
      <c r="K1052" s="2" t="s">
        <v>25</v>
      </c>
      <c r="L1052" s="2" t="s">
        <v>96</v>
      </c>
      <c r="M1052" s="4" t="str">
        <f t="shared" si="32"/>
        <v>Involuntary</v>
      </c>
      <c r="N1052" s="23" t="s">
        <v>26</v>
      </c>
    </row>
    <row r="1053" spans="1:14" x14ac:dyDescent="0.25">
      <c r="A1053" s="22">
        <v>5462</v>
      </c>
      <c r="B1053" s="3">
        <v>41864</v>
      </c>
      <c r="C1053" s="3">
        <v>44079</v>
      </c>
      <c r="D1053" s="2">
        <f t="shared" si="33"/>
        <v>6</v>
      </c>
      <c r="E1053" s="4" t="str" cm="1">
        <f t="array" ref="E1053">_xlfn.IFS(
D1053&lt;=5,"Newcomer",
D1053&lt;=10,"Proficient",
D1053&gt;10,"Expert"
)</f>
        <v>Proficient</v>
      </c>
      <c r="F1053" s="2" t="s">
        <v>106</v>
      </c>
      <c r="G1053" s="5" t="s">
        <v>35</v>
      </c>
      <c r="H1053" s="5" t="s">
        <v>76</v>
      </c>
      <c r="I1053" s="2">
        <v>20</v>
      </c>
      <c r="J1053" s="2" t="s">
        <v>24</v>
      </c>
      <c r="K1053" s="2" t="s">
        <v>25</v>
      </c>
      <c r="L1053" s="2" t="s">
        <v>96</v>
      </c>
      <c r="M1053" s="4" t="str">
        <f t="shared" si="32"/>
        <v>Involuntary</v>
      </c>
      <c r="N1053" s="23" t="s">
        <v>26</v>
      </c>
    </row>
    <row r="1054" spans="1:14" x14ac:dyDescent="0.25">
      <c r="A1054" s="22">
        <v>5475</v>
      </c>
      <c r="B1054" s="3">
        <v>35769</v>
      </c>
      <c r="C1054" s="3">
        <v>43927</v>
      </c>
      <c r="D1054" s="2">
        <f t="shared" si="33"/>
        <v>23</v>
      </c>
      <c r="E1054" s="4" t="str" cm="1">
        <f t="array" ref="E1054">_xlfn.IFS(
D1054&lt;=5,"Newcomer",
D1054&lt;=10,"Proficient",
D1054&gt;10,"Expert"
)</f>
        <v>Expert</v>
      </c>
      <c r="F1054" s="2" t="s">
        <v>87</v>
      </c>
      <c r="G1054" s="5" t="s">
        <v>47</v>
      </c>
      <c r="H1054" s="5" t="s">
        <v>95</v>
      </c>
      <c r="I1054" s="2">
        <v>40</v>
      </c>
      <c r="J1054" s="2" t="s">
        <v>17</v>
      </c>
      <c r="K1054" s="2" t="s">
        <v>18</v>
      </c>
      <c r="L1054" s="2" t="s">
        <v>50</v>
      </c>
      <c r="M1054" s="4" t="str">
        <f t="shared" si="32"/>
        <v>Voluntary</v>
      </c>
      <c r="N1054" s="23" t="s">
        <v>26</v>
      </c>
    </row>
    <row r="1055" spans="1:14" x14ac:dyDescent="0.25">
      <c r="A1055" s="22">
        <v>5476</v>
      </c>
      <c r="B1055" s="3">
        <v>40949</v>
      </c>
      <c r="C1055" s="3">
        <v>43915</v>
      </c>
      <c r="D1055" s="2">
        <f t="shared" si="33"/>
        <v>8</v>
      </c>
      <c r="E1055" s="4" t="str" cm="1">
        <f t="array" ref="E1055">_xlfn.IFS(
D1055&lt;=5,"Newcomer",
D1055&lt;=10,"Proficient",
D1055&gt;10,"Expert"
)</f>
        <v>Proficient</v>
      </c>
      <c r="F1055" s="2" t="s">
        <v>14</v>
      </c>
      <c r="G1055" s="5" t="s">
        <v>71</v>
      </c>
      <c r="H1055" s="5" t="s">
        <v>116</v>
      </c>
      <c r="I1055" s="2">
        <v>42</v>
      </c>
      <c r="J1055" s="2" t="s">
        <v>24</v>
      </c>
      <c r="K1055" s="2" t="s">
        <v>25</v>
      </c>
      <c r="L1055" s="2" t="s">
        <v>50</v>
      </c>
      <c r="M1055" s="4" t="str">
        <f t="shared" si="32"/>
        <v>Voluntary</v>
      </c>
      <c r="N1055" s="23" t="s">
        <v>26</v>
      </c>
    </row>
    <row r="1056" spans="1:14" x14ac:dyDescent="0.25">
      <c r="A1056" s="22">
        <v>5477</v>
      </c>
      <c r="B1056" s="3">
        <v>33716</v>
      </c>
      <c r="C1056" s="3">
        <v>43973</v>
      </c>
      <c r="D1056" s="2">
        <f t="shared" si="33"/>
        <v>28</v>
      </c>
      <c r="E1056" s="4" t="str" cm="1">
        <f t="array" ref="E1056">_xlfn.IFS(
D1056&lt;=5,"Newcomer",
D1056&lt;=10,"Proficient",
D1056&gt;10,"Expert"
)</f>
        <v>Expert</v>
      </c>
      <c r="F1056" s="2" t="s">
        <v>111</v>
      </c>
      <c r="G1056" s="5" t="s">
        <v>62</v>
      </c>
      <c r="H1056" s="5" t="s">
        <v>63</v>
      </c>
      <c r="I1056" s="2">
        <v>23</v>
      </c>
      <c r="J1056" s="2" t="s">
        <v>17</v>
      </c>
      <c r="K1056" s="2" t="s">
        <v>18</v>
      </c>
      <c r="L1056" s="2" t="s">
        <v>96</v>
      </c>
      <c r="M1056" s="4" t="str">
        <f t="shared" si="32"/>
        <v>Involuntary</v>
      </c>
      <c r="N1056" s="23" t="s">
        <v>26</v>
      </c>
    </row>
    <row r="1057" spans="1:14" x14ac:dyDescent="0.25">
      <c r="A1057" s="22">
        <v>5481</v>
      </c>
      <c r="B1057" s="3">
        <v>37270</v>
      </c>
      <c r="C1057" s="3">
        <v>43946</v>
      </c>
      <c r="D1057" s="2">
        <f t="shared" si="33"/>
        <v>18</v>
      </c>
      <c r="E1057" s="4" t="str" cm="1">
        <f t="array" ref="E1057">_xlfn.IFS(
D1057&lt;=5,"Newcomer",
D1057&lt;=10,"Proficient",
D1057&gt;10,"Expert"
)</f>
        <v>Expert</v>
      </c>
      <c r="F1057" s="2" t="s">
        <v>14</v>
      </c>
      <c r="G1057" s="5" t="s">
        <v>71</v>
      </c>
      <c r="H1057" s="5" t="s">
        <v>116</v>
      </c>
      <c r="I1057" s="2">
        <v>42</v>
      </c>
      <c r="J1057" s="2" t="s">
        <v>17</v>
      </c>
      <c r="K1057" s="2" t="s">
        <v>18</v>
      </c>
      <c r="L1057" s="2" t="s">
        <v>50</v>
      </c>
      <c r="M1057" s="4" t="str">
        <f t="shared" si="32"/>
        <v>Voluntary</v>
      </c>
      <c r="N1057" s="23" t="s">
        <v>26</v>
      </c>
    </row>
    <row r="1058" spans="1:14" x14ac:dyDescent="0.25">
      <c r="A1058" s="22">
        <v>5502</v>
      </c>
      <c r="B1058" s="3">
        <v>40251</v>
      </c>
      <c r="C1058" s="3">
        <v>43832</v>
      </c>
      <c r="D1058" s="2">
        <f t="shared" si="33"/>
        <v>10</v>
      </c>
      <c r="E1058" s="4" t="str" cm="1">
        <f t="array" ref="E1058">_xlfn.IFS(
D1058&lt;=5,"Newcomer",
D1058&lt;=10,"Proficient",
D1058&gt;10,"Expert"
)</f>
        <v>Proficient</v>
      </c>
      <c r="F1058" s="2" t="s">
        <v>107</v>
      </c>
      <c r="G1058" s="5" t="s">
        <v>47</v>
      </c>
      <c r="H1058" s="5" t="s">
        <v>95</v>
      </c>
      <c r="I1058" s="2">
        <v>11</v>
      </c>
      <c r="J1058" s="2" t="s">
        <v>17</v>
      </c>
      <c r="K1058" s="2" t="s">
        <v>18</v>
      </c>
      <c r="L1058" s="2" t="s">
        <v>50</v>
      </c>
      <c r="M1058" s="4" t="str">
        <f t="shared" si="32"/>
        <v>Voluntary</v>
      </c>
      <c r="N1058" s="23" t="s">
        <v>26</v>
      </c>
    </row>
    <row r="1059" spans="1:14" x14ac:dyDescent="0.25">
      <c r="A1059" s="22">
        <v>5509</v>
      </c>
      <c r="B1059" s="3">
        <v>36446</v>
      </c>
      <c r="C1059" s="3">
        <v>44097</v>
      </c>
      <c r="D1059" s="2">
        <f t="shared" si="33"/>
        <v>21</v>
      </c>
      <c r="E1059" s="4" t="str" cm="1">
        <f t="array" ref="E1059">_xlfn.IFS(
D1059&lt;=5,"Newcomer",
D1059&lt;=10,"Proficient",
D1059&gt;10,"Expert"
)</f>
        <v>Expert</v>
      </c>
      <c r="F1059" s="2" t="s">
        <v>104</v>
      </c>
      <c r="G1059" s="5" t="s">
        <v>71</v>
      </c>
      <c r="H1059" s="5" t="s">
        <v>116</v>
      </c>
      <c r="I1059" s="2">
        <v>39</v>
      </c>
      <c r="J1059" s="2" t="s">
        <v>24</v>
      </c>
      <c r="K1059" s="2" t="s">
        <v>25</v>
      </c>
      <c r="L1059" s="2" t="s">
        <v>96</v>
      </c>
      <c r="M1059" s="4" t="str">
        <f t="shared" si="32"/>
        <v>Involuntary</v>
      </c>
      <c r="N1059" s="23" t="s">
        <v>26</v>
      </c>
    </row>
    <row r="1060" spans="1:14" x14ac:dyDescent="0.25">
      <c r="A1060" s="22">
        <v>5517</v>
      </c>
      <c r="B1060" s="3">
        <v>37664</v>
      </c>
      <c r="C1060" s="3">
        <v>43958</v>
      </c>
      <c r="D1060" s="2">
        <f t="shared" si="33"/>
        <v>17</v>
      </c>
      <c r="E1060" s="4" t="str" cm="1">
        <f t="array" ref="E1060">_xlfn.IFS(
D1060&lt;=5,"Newcomer",
D1060&lt;=10,"Proficient",
D1060&gt;10,"Expert"
)</f>
        <v>Expert</v>
      </c>
      <c r="F1060" s="2" t="s">
        <v>80</v>
      </c>
      <c r="G1060" s="5" t="s">
        <v>62</v>
      </c>
      <c r="H1060" s="5" t="s">
        <v>63</v>
      </c>
      <c r="I1060" s="2">
        <v>7</v>
      </c>
      <c r="J1060" s="2" t="s">
        <v>24</v>
      </c>
      <c r="K1060" s="2" t="s">
        <v>25</v>
      </c>
      <c r="L1060" s="2" t="s">
        <v>96</v>
      </c>
      <c r="M1060" s="4" t="str">
        <f t="shared" si="32"/>
        <v>Involuntary</v>
      </c>
      <c r="N1060" s="23" t="s">
        <v>26</v>
      </c>
    </row>
    <row r="1061" spans="1:14" x14ac:dyDescent="0.25">
      <c r="A1061" s="22">
        <v>5520</v>
      </c>
      <c r="B1061" s="3">
        <v>37380</v>
      </c>
      <c r="C1061" s="3">
        <v>44144</v>
      </c>
      <c r="D1061" s="2">
        <f t="shared" si="33"/>
        <v>18</v>
      </c>
      <c r="E1061" s="4" t="str" cm="1">
        <f t="array" ref="E1061">_xlfn.IFS(
D1061&lt;=5,"Newcomer",
D1061&lt;=10,"Proficient",
D1061&gt;10,"Expert"
)</f>
        <v>Expert</v>
      </c>
      <c r="F1061" s="2" t="s">
        <v>107</v>
      </c>
      <c r="G1061" s="5" t="s">
        <v>47</v>
      </c>
      <c r="H1061" s="5" t="s">
        <v>95</v>
      </c>
      <c r="I1061" s="2">
        <v>11</v>
      </c>
      <c r="J1061" s="2" t="s">
        <v>17</v>
      </c>
      <c r="K1061" s="2" t="s">
        <v>18</v>
      </c>
      <c r="L1061" s="2" t="s">
        <v>50</v>
      </c>
      <c r="M1061" s="4" t="str">
        <f t="shared" si="32"/>
        <v>Voluntary</v>
      </c>
      <c r="N1061" s="23" t="s">
        <v>26</v>
      </c>
    </row>
    <row r="1062" spans="1:14" x14ac:dyDescent="0.25">
      <c r="A1062" s="22">
        <v>5536</v>
      </c>
      <c r="B1062" s="3">
        <v>40783</v>
      </c>
      <c r="C1062" s="3">
        <v>43973</v>
      </c>
      <c r="D1062" s="2">
        <f t="shared" si="33"/>
        <v>9</v>
      </c>
      <c r="E1062" s="4" t="str" cm="1">
        <f t="array" ref="E1062">_xlfn.IFS(
D1062&lt;=5,"Newcomer",
D1062&lt;=10,"Proficient",
D1062&gt;10,"Expert"
)</f>
        <v>Proficient</v>
      </c>
      <c r="F1062" s="2" t="s">
        <v>91</v>
      </c>
      <c r="G1062" s="5" t="s">
        <v>47</v>
      </c>
      <c r="H1062" s="5" t="s">
        <v>95</v>
      </c>
      <c r="I1062" s="2">
        <v>29</v>
      </c>
      <c r="J1062" s="2" t="s">
        <v>24</v>
      </c>
      <c r="K1062" s="2" t="s">
        <v>25</v>
      </c>
      <c r="L1062" s="2" t="s">
        <v>50</v>
      </c>
      <c r="M1062" s="4" t="str">
        <f t="shared" si="32"/>
        <v>Voluntary</v>
      </c>
      <c r="N1062" s="23" t="s">
        <v>26</v>
      </c>
    </row>
    <row r="1063" spans="1:14" x14ac:dyDescent="0.25">
      <c r="A1063" s="22">
        <v>5569</v>
      </c>
      <c r="B1063" s="3">
        <v>39371</v>
      </c>
      <c r="C1063" s="3">
        <v>44173</v>
      </c>
      <c r="D1063" s="2">
        <f t="shared" si="33"/>
        <v>13</v>
      </c>
      <c r="E1063" s="4" t="str" cm="1">
        <f t="array" ref="E1063">_xlfn.IFS(
D1063&lt;=5,"Newcomer",
D1063&lt;=10,"Proficient",
D1063&gt;10,"Expert"
)</f>
        <v>Expert</v>
      </c>
      <c r="F1063" s="2" t="s">
        <v>27</v>
      </c>
      <c r="G1063" s="5" t="s">
        <v>47</v>
      </c>
      <c r="H1063" s="5" t="s">
        <v>95</v>
      </c>
      <c r="I1063" s="2">
        <v>16</v>
      </c>
      <c r="J1063" s="2" t="s">
        <v>24</v>
      </c>
      <c r="K1063" s="2" t="s">
        <v>25</v>
      </c>
      <c r="L1063" s="2" t="s">
        <v>50</v>
      </c>
      <c r="M1063" s="4" t="str">
        <f t="shared" si="32"/>
        <v>Voluntary</v>
      </c>
      <c r="N1063" s="23" t="s">
        <v>26</v>
      </c>
    </row>
    <row r="1064" spans="1:14" x14ac:dyDescent="0.25">
      <c r="A1064" s="22">
        <v>5570</v>
      </c>
      <c r="B1064" s="3">
        <v>40560</v>
      </c>
      <c r="C1064" s="3">
        <v>44018</v>
      </c>
      <c r="D1064" s="2">
        <f t="shared" si="33"/>
        <v>9</v>
      </c>
      <c r="E1064" s="4" t="str" cm="1">
        <f t="array" ref="E1064">_xlfn.IFS(
D1064&lt;=5,"Newcomer",
D1064&lt;=10,"Proficient",
D1064&gt;10,"Expert"
)</f>
        <v>Proficient</v>
      </c>
      <c r="F1064" s="2" t="s">
        <v>14</v>
      </c>
      <c r="G1064" s="5" t="s">
        <v>71</v>
      </c>
      <c r="H1064" s="5" t="s">
        <v>116</v>
      </c>
      <c r="I1064" s="2">
        <v>42</v>
      </c>
      <c r="J1064" s="2" t="s">
        <v>17</v>
      </c>
      <c r="K1064" s="2" t="s">
        <v>18</v>
      </c>
      <c r="L1064" s="2" t="s">
        <v>50</v>
      </c>
      <c r="M1064" s="4" t="str">
        <f t="shared" si="32"/>
        <v>Voluntary</v>
      </c>
      <c r="N1064" s="23" t="s">
        <v>26</v>
      </c>
    </row>
    <row r="1065" spans="1:14" x14ac:dyDescent="0.25">
      <c r="A1065" s="22">
        <v>5583</v>
      </c>
      <c r="B1065" s="3">
        <v>37292</v>
      </c>
      <c r="C1065" s="3">
        <v>43916</v>
      </c>
      <c r="D1065" s="2">
        <f t="shared" si="33"/>
        <v>18</v>
      </c>
      <c r="E1065" s="4" t="str" cm="1">
        <f t="array" ref="E1065">_xlfn.IFS(
D1065&lt;=5,"Newcomer",
D1065&lt;=10,"Proficient",
D1065&gt;10,"Expert"
)</f>
        <v>Expert</v>
      </c>
      <c r="F1065" s="2" t="s">
        <v>108</v>
      </c>
      <c r="G1065" s="5" t="s">
        <v>71</v>
      </c>
      <c r="H1065" s="5" t="s">
        <v>116</v>
      </c>
      <c r="I1065" s="2">
        <v>14</v>
      </c>
      <c r="J1065" s="2" t="s">
        <v>17</v>
      </c>
      <c r="K1065" s="2" t="s">
        <v>18</v>
      </c>
      <c r="L1065" s="2" t="s">
        <v>96</v>
      </c>
      <c r="M1065" s="4" t="str">
        <f t="shared" si="32"/>
        <v>Involuntary</v>
      </c>
      <c r="N1065" s="23" t="s">
        <v>26</v>
      </c>
    </row>
    <row r="1066" spans="1:14" x14ac:dyDescent="0.25">
      <c r="A1066" s="22">
        <v>5585</v>
      </c>
      <c r="B1066" s="3">
        <v>36470</v>
      </c>
      <c r="C1066" s="3">
        <v>44164</v>
      </c>
      <c r="D1066" s="2">
        <f t="shared" si="33"/>
        <v>21</v>
      </c>
      <c r="E1066" s="4" t="str" cm="1">
        <f t="array" ref="E1066">_xlfn.IFS(
D1066&lt;=5,"Newcomer",
D1066&lt;=10,"Proficient",
D1066&gt;10,"Expert"
)</f>
        <v>Expert</v>
      </c>
      <c r="F1066" s="2" t="s">
        <v>14</v>
      </c>
      <c r="G1066" s="5" t="s">
        <v>71</v>
      </c>
      <c r="H1066" s="5" t="s">
        <v>116</v>
      </c>
      <c r="I1066" s="2">
        <v>42</v>
      </c>
      <c r="J1066" s="2" t="s">
        <v>24</v>
      </c>
      <c r="K1066" s="2" t="s">
        <v>25</v>
      </c>
      <c r="L1066" s="2" t="s">
        <v>50</v>
      </c>
      <c r="M1066" s="4" t="str">
        <f t="shared" si="32"/>
        <v>Voluntary</v>
      </c>
      <c r="N1066" s="23" t="s">
        <v>26</v>
      </c>
    </row>
    <row r="1067" spans="1:14" x14ac:dyDescent="0.25">
      <c r="A1067" s="22">
        <v>5591</v>
      </c>
      <c r="B1067" s="3">
        <v>41889</v>
      </c>
      <c r="C1067" s="3">
        <v>44017</v>
      </c>
      <c r="D1067" s="2">
        <f t="shared" si="33"/>
        <v>6</v>
      </c>
      <c r="E1067" s="4" t="str" cm="1">
        <f t="array" ref="E1067">_xlfn.IFS(
D1067&lt;=5,"Newcomer",
D1067&lt;=10,"Proficient",
D1067&gt;10,"Expert"
)</f>
        <v>Proficient</v>
      </c>
      <c r="F1067" s="2" t="s">
        <v>100</v>
      </c>
      <c r="G1067" s="5" t="s">
        <v>35</v>
      </c>
      <c r="H1067" s="5" t="s">
        <v>76</v>
      </c>
      <c r="I1067" s="2">
        <v>13</v>
      </c>
      <c r="J1067" s="2" t="s">
        <v>24</v>
      </c>
      <c r="K1067" s="2" t="s">
        <v>25</v>
      </c>
      <c r="L1067" s="2" t="s">
        <v>96</v>
      </c>
      <c r="M1067" s="4" t="str">
        <f t="shared" si="32"/>
        <v>Involuntary</v>
      </c>
      <c r="N1067" s="23" t="s">
        <v>26</v>
      </c>
    </row>
    <row r="1068" spans="1:14" x14ac:dyDescent="0.25">
      <c r="A1068" s="22">
        <v>5604</v>
      </c>
      <c r="B1068" s="3">
        <v>38679</v>
      </c>
      <c r="C1068" s="3">
        <v>43856</v>
      </c>
      <c r="D1068" s="2">
        <f t="shared" si="33"/>
        <v>15</v>
      </c>
      <c r="E1068" s="4" t="str" cm="1">
        <f t="array" ref="E1068">_xlfn.IFS(
D1068&lt;=5,"Newcomer",
D1068&lt;=10,"Proficient",
D1068&gt;10,"Expert"
)</f>
        <v>Expert</v>
      </c>
      <c r="F1068" s="2" t="s">
        <v>14</v>
      </c>
      <c r="G1068" s="5" t="s">
        <v>71</v>
      </c>
      <c r="H1068" s="5" t="s">
        <v>116</v>
      </c>
      <c r="I1068" s="2">
        <v>42</v>
      </c>
      <c r="J1068" s="2" t="s">
        <v>17</v>
      </c>
      <c r="K1068" s="2" t="s">
        <v>18</v>
      </c>
      <c r="L1068" s="2" t="s">
        <v>50</v>
      </c>
      <c r="M1068" s="4" t="str">
        <f t="shared" si="32"/>
        <v>Voluntary</v>
      </c>
      <c r="N1068" s="23" t="s">
        <v>26</v>
      </c>
    </row>
    <row r="1069" spans="1:14" x14ac:dyDescent="0.25">
      <c r="A1069" s="22">
        <v>5630</v>
      </c>
      <c r="B1069" s="3">
        <v>33999</v>
      </c>
      <c r="C1069" s="3">
        <v>44138</v>
      </c>
      <c r="D1069" s="2">
        <f t="shared" si="33"/>
        <v>27</v>
      </c>
      <c r="E1069" s="4" t="str" cm="1">
        <f t="array" ref="E1069">_xlfn.IFS(
D1069&lt;=5,"Newcomer",
D1069&lt;=10,"Proficient",
D1069&gt;10,"Expert"
)</f>
        <v>Expert</v>
      </c>
      <c r="F1069" s="2" t="s">
        <v>53</v>
      </c>
      <c r="G1069" s="5" t="s">
        <v>62</v>
      </c>
      <c r="H1069" s="5" t="s">
        <v>63</v>
      </c>
      <c r="I1069" s="2">
        <v>31</v>
      </c>
      <c r="J1069" s="2" t="s">
        <v>24</v>
      </c>
      <c r="K1069" s="2" t="s">
        <v>25</v>
      </c>
      <c r="L1069" s="2" t="s">
        <v>50</v>
      </c>
      <c r="M1069" s="4" t="str">
        <f t="shared" si="32"/>
        <v>Voluntary</v>
      </c>
      <c r="N1069" s="23" t="s">
        <v>26</v>
      </c>
    </row>
    <row r="1070" spans="1:14" x14ac:dyDescent="0.25">
      <c r="A1070" s="22">
        <v>5652</v>
      </c>
      <c r="B1070" s="3">
        <v>37427</v>
      </c>
      <c r="C1070" s="3">
        <v>44045</v>
      </c>
      <c r="D1070" s="2">
        <f t="shared" si="33"/>
        <v>18</v>
      </c>
      <c r="E1070" s="4" t="str" cm="1">
        <f t="array" ref="E1070">_xlfn.IFS(
D1070&lt;=5,"Newcomer",
D1070&lt;=10,"Proficient",
D1070&gt;10,"Expert"
)</f>
        <v>Expert</v>
      </c>
      <c r="F1070" s="2" t="s">
        <v>74</v>
      </c>
      <c r="G1070" s="5" t="s">
        <v>71</v>
      </c>
      <c r="H1070" s="5" t="s">
        <v>116</v>
      </c>
      <c r="I1070" s="2">
        <v>9</v>
      </c>
      <c r="J1070" s="2" t="s">
        <v>24</v>
      </c>
      <c r="K1070" s="2" t="s">
        <v>25</v>
      </c>
      <c r="L1070" s="2" t="s">
        <v>96</v>
      </c>
      <c r="M1070" s="4" t="str">
        <f t="shared" si="32"/>
        <v>Involuntary</v>
      </c>
      <c r="N1070" s="23" t="s">
        <v>26</v>
      </c>
    </row>
    <row r="1071" spans="1:14" x14ac:dyDescent="0.25">
      <c r="A1071" s="22">
        <v>5653</v>
      </c>
      <c r="B1071" s="3">
        <v>38131</v>
      </c>
      <c r="C1071" s="3">
        <v>43854</v>
      </c>
      <c r="D1071" s="2">
        <f t="shared" si="33"/>
        <v>16</v>
      </c>
      <c r="E1071" s="4" t="str" cm="1">
        <f t="array" ref="E1071">_xlfn.IFS(
D1071&lt;=5,"Newcomer",
D1071&lt;=10,"Proficient",
D1071&gt;10,"Expert"
)</f>
        <v>Expert</v>
      </c>
      <c r="F1071" s="2" t="s">
        <v>107</v>
      </c>
      <c r="G1071" s="5" t="s">
        <v>47</v>
      </c>
      <c r="H1071" s="5" t="s">
        <v>95</v>
      </c>
      <c r="I1071" s="2">
        <v>11</v>
      </c>
      <c r="J1071" s="2" t="s">
        <v>24</v>
      </c>
      <c r="K1071" s="2" t="s">
        <v>25</v>
      </c>
      <c r="L1071" s="2" t="s">
        <v>96</v>
      </c>
      <c r="M1071" s="4" t="str">
        <f t="shared" si="32"/>
        <v>Involuntary</v>
      </c>
      <c r="N1071" s="23" t="s">
        <v>26</v>
      </c>
    </row>
    <row r="1072" spans="1:14" x14ac:dyDescent="0.25">
      <c r="A1072" s="22">
        <v>5654</v>
      </c>
      <c r="B1072" s="3">
        <v>35848</v>
      </c>
      <c r="C1072" s="3">
        <v>43940</v>
      </c>
      <c r="D1072" s="2">
        <f t="shared" si="33"/>
        <v>22</v>
      </c>
      <c r="E1072" s="4" t="str" cm="1">
        <f t="array" ref="E1072">_xlfn.IFS(
D1072&lt;=5,"Newcomer",
D1072&lt;=10,"Proficient",
D1072&gt;10,"Expert"
)</f>
        <v>Expert</v>
      </c>
      <c r="F1072" s="2" t="s">
        <v>69</v>
      </c>
      <c r="G1072" s="5" t="s">
        <v>62</v>
      </c>
      <c r="H1072" s="5" t="s">
        <v>63</v>
      </c>
      <c r="I1072" s="2">
        <v>28</v>
      </c>
      <c r="J1072" s="2" t="s">
        <v>17</v>
      </c>
      <c r="K1072" s="2" t="s">
        <v>18</v>
      </c>
      <c r="L1072" s="2" t="s">
        <v>50</v>
      </c>
      <c r="M1072" s="4" t="str">
        <f t="shared" si="32"/>
        <v>Voluntary</v>
      </c>
      <c r="N1072" s="23" t="s">
        <v>26</v>
      </c>
    </row>
    <row r="1073" spans="1:14" x14ac:dyDescent="0.25">
      <c r="A1073" s="22">
        <v>5674</v>
      </c>
      <c r="B1073" s="3">
        <v>41650</v>
      </c>
      <c r="C1073" s="3">
        <v>43948</v>
      </c>
      <c r="D1073" s="2">
        <f t="shared" si="33"/>
        <v>6</v>
      </c>
      <c r="E1073" s="4" t="str" cm="1">
        <f t="array" ref="E1073">_xlfn.IFS(
D1073&lt;=5,"Newcomer",
D1073&lt;=10,"Proficient",
D1073&gt;10,"Expert"
)</f>
        <v>Proficient</v>
      </c>
      <c r="F1073" s="2" t="s">
        <v>14</v>
      </c>
      <c r="G1073" s="5" t="s">
        <v>71</v>
      </c>
      <c r="H1073" s="5" t="s">
        <v>116</v>
      </c>
      <c r="I1073" s="2">
        <v>42</v>
      </c>
      <c r="J1073" s="2" t="s">
        <v>17</v>
      </c>
      <c r="K1073" s="2" t="s">
        <v>18</v>
      </c>
      <c r="L1073" s="2" t="s">
        <v>50</v>
      </c>
      <c r="M1073" s="4" t="str">
        <f t="shared" si="32"/>
        <v>Voluntary</v>
      </c>
      <c r="N1073" s="23" t="s">
        <v>26</v>
      </c>
    </row>
    <row r="1074" spans="1:14" x14ac:dyDescent="0.25">
      <c r="A1074" s="22">
        <v>5688</v>
      </c>
      <c r="B1074" s="3">
        <v>33203</v>
      </c>
      <c r="C1074" s="3">
        <v>43888</v>
      </c>
      <c r="D1074" s="2">
        <f t="shared" si="33"/>
        <v>30</v>
      </c>
      <c r="E1074" s="4" t="str" cm="1">
        <f t="array" ref="E1074">_xlfn.IFS(
D1074&lt;=5,"Newcomer",
D1074&lt;=10,"Proficient",
D1074&gt;10,"Expert"
)</f>
        <v>Expert</v>
      </c>
      <c r="F1074" s="2" t="s">
        <v>106</v>
      </c>
      <c r="G1074" s="5" t="s">
        <v>42</v>
      </c>
      <c r="H1074" s="5" t="s">
        <v>105</v>
      </c>
      <c r="I1074" s="2">
        <v>20</v>
      </c>
      <c r="J1074" s="2" t="s">
        <v>24</v>
      </c>
      <c r="K1074" s="2" t="s">
        <v>25</v>
      </c>
      <c r="L1074" s="2" t="s">
        <v>50</v>
      </c>
      <c r="M1074" s="4" t="str">
        <f t="shared" si="32"/>
        <v>Voluntary</v>
      </c>
      <c r="N1074" s="23" t="s">
        <v>26</v>
      </c>
    </row>
    <row r="1075" spans="1:14" x14ac:dyDescent="0.25">
      <c r="A1075" s="22">
        <v>5696</v>
      </c>
      <c r="B1075" s="3">
        <v>39249</v>
      </c>
      <c r="C1075" s="3">
        <v>44070</v>
      </c>
      <c r="D1075" s="2">
        <f t="shared" si="33"/>
        <v>13</v>
      </c>
      <c r="E1075" s="4" t="str" cm="1">
        <f t="array" ref="E1075">_xlfn.IFS(
D1075&lt;=5,"Newcomer",
D1075&lt;=10,"Proficient",
D1075&gt;10,"Expert"
)</f>
        <v>Expert</v>
      </c>
      <c r="F1075" s="2" t="s">
        <v>14</v>
      </c>
      <c r="G1075" s="5" t="s">
        <v>71</v>
      </c>
      <c r="H1075" s="5" t="s">
        <v>116</v>
      </c>
      <c r="I1075" s="2">
        <v>42</v>
      </c>
      <c r="J1075" s="2" t="s">
        <v>24</v>
      </c>
      <c r="K1075" s="2" t="s">
        <v>25</v>
      </c>
      <c r="L1075" s="2" t="s">
        <v>50</v>
      </c>
      <c r="M1075" s="4" t="str">
        <f t="shared" si="32"/>
        <v>Voluntary</v>
      </c>
      <c r="N1075" s="23" t="s">
        <v>26</v>
      </c>
    </row>
    <row r="1076" spans="1:14" x14ac:dyDescent="0.25">
      <c r="A1076" s="22">
        <v>5716</v>
      </c>
      <c r="B1076" s="3">
        <v>36332</v>
      </c>
      <c r="C1076" s="3">
        <v>44184</v>
      </c>
      <c r="D1076" s="2">
        <f t="shared" si="33"/>
        <v>21</v>
      </c>
      <c r="E1076" s="4" t="str" cm="1">
        <f t="array" ref="E1076">_xlfn.IFS(
D1076&lt;=5,"Newcomer",
D1076&lt;=10,"Proficient",
D1076&gt;10,"Expert"
)</f>
        <v>Expert</v>
      </c>
      <c r="F1076" s="2" t="s">
        <v>100</v>
      </c>
      <c r="G1076" s="5" t="s">
        <v>42</v>
      </c>
      <c r="H1076" s="5" t="s">
        <v>105</v>
      </c>
      <c r="I1076" s="2">
        <v>13</v>
      </c>
      <c r="J1076" s="2" t="s">
        <v>24</v>
      </c>
      <c r="K1076" s="2" t="s">
        <v>25</v>
      </c>
      <c r="L1076" s="2" t="s">
        <v>96</v>
      </c>
      <c r="M1076" s="4" t="str">
        <f t="shared" si="32"/>
        <v>Involuntary</v>
      </c>
      <c r="N1076" s="23" t="s">
        <v>26</v>
      </c>
    </row>
    <row r="1077" spans="1:14" x14ac:dyDescent="0.25">
      <c r="A1077" s="22">
        <v>5724</v>
      </c>
      <c r="B1077" s="3">
        <v>38199</v>
      </c>
      <c r="C1077" s="3">
        <v>44129</v>
      </c>
      <c r="D1077" s="2">
        <f t="shared" si="33"/>
        <v>16</v>
      </c>
      <c r="E1077" s="4" t="str" cm="1">
        <f t="array" ref="E1077">_xlfn.IFS(
D1077&lt;=5,"Newcomer",
D1077&lt;=10,"Proficient",
D1077&gt;10,"Expert"
)</f>
        <v>Expert</v>
      </c>
      <c r="F1077" s="2" t="s">
        <v>107</v>
      </c>
      <c r="G1077" s="5" t="s">
        <v>47</v>
      </c>
      <c r="H1077" s="5" t="s">
        <v>95</v>
      </c>
      <c r="I1077" s="2">
        <v>11</v>
      </c>
      <c r="J1077" s="2" t="s">
        <v>24</v>
      </c>
      <c r="K1077" s="2" t="s">
        <v>25</v>
      </c>
      <c r="L1077" s="2" t="s">
        <v>96</v>
      </c>
      <c r="M1077" s="4" t="str">
        <f t="shared" si="32"/>
        <v>Involuntary</v>
      </c>
      <c r="N1077" s="23" t="s">
        <v>26</v>
      </c>
    </row>
    <row r="1078" spans="1:14" x14ac:dyDescent="0.25">
      <c r="A1078" s="22">
        <v>5742</v>
      </c>
      <c r="B1078" s="3">
        <v>40821</v>
      </c>
      <c r="C1078" s="3">
        <v>43938</v>
      </c>
      <c r="D1078" s="2">
        <f t="shared" si="33"/>
        <v>9</v>
      </c>
      <c r="E1078" s="4" t="str" cm="1">
        <f t="array" ref="E1078">_xlfn.IFS(
D1078&lt;=5,"Newcomer",
D1078&lt;=10,"Proficient",
D1078&gt;10,"Expert"
)</f>
        <v>Proficient</v>
      </c>
      <c r="F1078" s="2" t="s">
        <v>27</v>
      </c>
      <c r="G1078" s="5" t="s">
        <v>62</v>
      </c>
      <c r="H1078" s="5" t="s">
        <v>63</v>
      </c>
      <c r="I1078" s="2">
        <v>16</v>
      </c>
      <c r="J1078" s="2" t="s">
        <v>24</v>
      </c>
      <c r="K1078" s="2" t="s">
        <v>25</v>
      </c>
      <c r="L1078" s="2" t="s">
        <v>50</v>
      </c>
      <c r="M1078" s="4" t="str">
        <f t="shared" si="32"/>
        <v>Voluntary</v>
      </c>
      <c r="N1078" s="23" t="s">
        <v>26</v>
      </c>
    </row>
    <row r="1079" spans="1:14" x14ac:dyDescent="0.25">
      <c r="A1079" s="22">
        <v>5745</v>
      </c>
      <c r="B1079" s="3">
        <v>42339</v>
      </c>
      <c r="C1079" s="3">
        <v>43899</v>
      </c>
      <c r="D1079" s="2">
        <f t="shared" si="33"/>
        <v>5</v>
      </c>
      <c r="E1079" s="4" t="str" cm="1">
        <f t="array" ref="E1079">_xlfn.IFS(
D1079&lt;=5,"Newcomer",
D1079&lt;=10,"Proficient",
D1079&gt;10,"Expert"
)</f>
        <v>Newcomer</v>
      </c>
      <c r="F1079" s="2" t="s">
        <v>114</v>
      </c>
      <c r="G1079" s="5" t="s">
        <v>71</v>
      </c>
      <c r="H1079" s="5" t="s">
        <v>116</v>
      </c>
      <c r="I1079" s="2">
        <v>27</v>
      </c>
      <c r="J1079" s="2" t="s">
        <v>17</v>
      </c>
      <c r="K1079" s="2" t="s">
        <v>18</v>
      </c>
      <c r="L1079" s="2" t="s">
        <v>96</v>
      </c>
      <c r="M1079" s="4" t="str">
        <f t="shared" si="32"/>
        <v>Involuntary</v>
      </c>
      <c r="N1079" s="23" t="s">
        <v>26</v>
      </c>
    </row>
    <row r="1080" spans="1:14" x14ac:dyDescent="0.25">
      <c r="A1080" s="22">
        <v>5775</v>
      </c>
      <c r="B1080" s="3">
        <v>39506</v>
      </c>
      <c r="C1080" s="3">
        <v>44139</v>
      </c>
      <c r="D1080" s="2">
        <f t="shared" si="33"/>
        <v>12</v>
      </c>
      <c r="E1080" s="4" t="str" cm="1">
        <f t="array" ref="E1080">_xlfn.IFS(
D1080&lt;=5,"Newcomer",
D1080&lt;=10,"Proficient",
D1080&gt;10,"Expert"
)</f>
        <v>Expert</v>
      </c>
      <c r="F1080" s="2" t="s">
        <v>86</v>
      </c>
      <c r="G1080" s="5" t="s">
        <v>47</v>
      </c>
      <c r="H1080" s="5" t="s">
        <v>95</v>
      </c>
      <c r="I1080" s="2">
        <v>8</v>
      </c>
      <c r="J1080" s="2" t="s">
        <v>17</v>
      </c>
      <c r="K1080" s="2" t="s">
        <v>18</v>
      </c>
      <c r="L1080" s="2" t="s">
        <v>50</v>
      </c>
      <c r="M1080" s="4" t="str">
        <f t="shared" si="32"/>
        <v>Voluntary</v>
      </c>
      <c r="N1080" s="23" t="s">
        <v>26</v>
      </c>
    </row>
    <row r="1081" spans="1:14" x14ac:dyDescent="0.25">
      <c r="A1081" s="22">
        <v>5786</v>
      </c>
      <c r="B1081" s="3">
        <v>38801</v>
      </c>
      <c r="C1081" s="3">
        <v>44150</v>
      </c>
      <c r="D1081" s="2">
        <f t="shared" si="33"/>
        <v>14</v>
      </c>
      <c r="E1081" s="4" t="str" cm="1">
        <f t="array" ref="E1081">_xlfn.IFS(
D1081&lt;=5,"Newcomer",
D1081&lt;=10,"Proficient",
D1081&gt;10,"Expert"
)</f>
        <v>Expert</v>
      </c>
      <c r="F1081" s="2" t="s">
        <v>115</v>
      </c>
      <c r="G1081" s="5" t="s">
        <v>62</v>
      </c>
      <c r="H1081" s="5" t="s">
        <v>63</v>
      </c>
      <c r="I1081" s="2">
        <v>17</v>
      </c>
      <c r="J1081" s="2" t="s">
        <v>17</v>
      </c>
      <c r="K1081" s="2" t="s">
        <v>18</v>
      </c>
      <c r="L1081" s="2" t="s">
        <v>50</v>
      </c>
      <c r="M1081" s="4" t="str">
        <f t="shared" si="32"/>
        <v>Voluntary</v>
      </c>
      <c r="N1081" s="23" t="s">
        <v>26</v>
      </c>
    </row>
    <row r="1082" spans="1:14" x14ac:dyDescent="0.25">
      <c r="A1082" s="22">
        <v>5836</v>
      </c>
      <c r="B1082" s="3">
        <v>33604</v>
      </c>
      <c r="C1082" s="3">
        <v>44028</v>
      </c>
      <c r="D1082" s="2">
        <f t="shared" si="33"/>
        <v>28</v>
      </c>
      <c r="E1082" s="4" t="str" cm="1">
        <f t="array" ref="E1082">_xlfn.IFS(
D1082&lt;=5,"Newcomer",
D1082&lt;=10,"Proficient",
D1082&gt;10,"Expert"
)</f>
        <v>Expert</v>
      </c>
      <c r="F1082" s="2" t="s">
        <v>100</v>
      </c>
      <c r="G1082" s="5" t="s">
        <v>42</v>
      </c>
      <c r="H1082" s="5" t="s">
        <v>105</v>
      </c>
      <c r="I1082" s="2">
        <v>13</v>
      </c>
      <c r="J1082" s="2" t="s">
        <v>17</v>
      </c>
      <c r="K1082" s="2" t="s">
        <v>18</v>
      </c>
      <c r="L1082" s="2" t="s">
        <v>96</v>
      </c>
      <c r="M1082" s="4" t="str">
        <f t="shared" si="32"/>
        <v>Involuntary</v>
      </c>
      <c r="N1082" s="23" t="s">
        <v>26</v>
      </c>
    </row>
    <row r="1083" spans="1:14" x14ac:dyDescent="0.25">
      <c r="A1083" s="22">
        <v>5837</v>
      </c>
      <c r="B1083" s="3">
        <v>34001</v>
      </c>
      <c r="C1083" s="3">
        <v>44032</v>
      </c>
      <c r="D1083" s="2">
        <f t="shared" si="33"/>
        <v>27</v>
      </c>
      <c r="E1083" s="4" t="str" cm="1">
        <f t="array" ref="E1083">_xlfn.IFS(
D1083&lt;=5,"Newcomer",
D1083&lt;=10,"Proficient",
D1083&gt;10,"Expert"
)</f>
        <v>Expert</v>
      </c>
      <c r="F1083" s="2" t="s">
        <v>107</v>
      </c>
      <c r="G1083" s="5" t="s">
        <v>47</v>
      </c>
      <c r="H1083" s="5" t="s">
        <v>95</v>
      </c>
      <c r="I1083" s="2">
        <v>11</v>
      </c>
      <c r="J1083" s="2" t="s">
        <v>24</v>
      </c>
      <c r="K1083" s="2" t="s">
        <v>25</v>
      </c>
      <c r="L1083" s="2" t="s">
        <v>96</v>
      </c>
      <c r="M1083" s="4" t="str">
        <f t="shared" si="32"/>
        <v>Involuntary</v>
      </c>
      <c r="N1083" s="23" t="s">
        <v>26</v>
      </c>
    </row>
    <row r="1084" spans="1:14" x14ac:dyDescent="0.25">
      <c r="A1084" s="22">
        <v>5843</v>
      </c>
      <c r="B1084" s="3">
        <v>35868</v>
      </c>
      <c r="C1084" s="3">
        <v>43987</v>
      </c>
      <c r="D1084" s="2">
        <f t="shared" si="33"/>
        <v>22</v>
      </c>
      <c r="E1084" s="4" t="str" cm="1">
        <f t="array" ref="E1084">_xlfn.IFS(
D1084&lt;=5,"Newcomer",
D1084&lt;=10,"Proficient",
D1084&gt;10,"Expert"
)</f>
        <v>Expert</v>
      </c>
      <c r="F1084" s="2" t="s">
        <v>79</v>
      </c>
      <c r="G1084" s="5" t="s">
        <v>67</v>
      </c>
      <c r="H1084" s="5" t="s">
        <v>113</v>
      </c>
      <c r="I1084" s="2">
        <v>25</v>
      </c>
      <c r="J1084" s="2" t="s">
        <v>24</v>
      </c>
      <c r="K1084" s="2" t="s">
        <v>25</v>
      </c>
      <c r="L1084" s="2" t="s">
        <v>50</v>
      </c>
      <c r="M1084" s="4" t="str">
        <f t="shared" si="32"/>
        <v>Voluntary</v>
      </c>
      <c r="N1084" s="23" t="s">
        <v>26</v>
      </c>
    </row>
    <row r="1085" spans="1:14" x14ac:dyDescent="0.25">
      <c r="A1085" s="22">
        <v>5857</v>
      </c>
      <c r="B1085" s="3">
        <v>39389</v>
      </c>
      <c r="C1085" s="3">
        <v>44067</v>
      </c>
      <c r="D1085" s="2">
        <f t="shared" si="33"/>
        <v>13</v>
      </c>
      <c r="E1085" s="4" t="str" cm="1">
        <f t="array" ref="E1085">_xlfn.IFS(
D1085&lt;=5,"Newcomer",
D1085&lt;=10,"Proficient",
D1085&gt;10,"Expert"
)</f>
        <v>Expert</v>
      </c>
      <c r="F1085" s="2" t="s">
        <v>49</v>
      </c>
      <c r="G1085" s="5" t="s">
        <v>47</v>
      </c>
      <c r="H1085" s="5" t="s">
        <v>95</v>
      </c>
      <c r="I1085" s="2">
        <v>12</v>
      </c>
      <c r="J1085" s="2" t="s">
        <v>24</v>
      </c>
      <c r="K1085" s="2" t="s">
        <v>25</v>
      </c>
      <c r="L1085" s="2" t="s">
        <v>50</v>
      </c>
      <c r="M1085" s="4" t="str">
        <f t="shared" si="32"/>
        <v>Voluntary</v>
      </c>
      <c r="N1085" s="23" t="s">
        <v>26</v>
      </c>
    </row>
    <row r="1086" spans="1:14" x14ac:dyDescent="0.25">
      <c r="A1086" s="22">
        <v>5872</v>
      </c>
      <c r="B1086" s="3">
        <v>34072</v>
      </c>
      <c r="C1086" s="3">
        <v>44081</v>
      </c>
      <c r="D1086" s="2">
        <f t="shared" si="33"/>
        <v>27</v>
      </c>
      <c r="E1086" s="4" t="str" cm="1">
        <f t="array" ref="E1086">_xlfn.IFS(
D1086&lt;=5,"Newcomer",
D1086&lt;=10,"Proficient",
D1086&gt;10,"Expert"
)</f>
        <v>Expert</v>
      </c>
      <c r="F1086" s="2" t="s">
        <v>14</v>
      </c>
      <c r="G1086" s="5" t="s">
        <v>35</v>
      </c>
      <c r="H1086" s="5" t="s">
        <v>76</v>
      </c>
      <c r="I1086" s="2">
        <v>43</v>
      </c>
      <c r="J1086" s="2" t="s">
        <v>17</v>
      </c>
      <c r="K1086" s="2" t="s">
        <v>18</v>
      </c>
      <c r="L1086" s="2" t="s">
        <v>50</v>
      </c>
      <c r="M1086" s="4" t="str">
        <f t="shared" si="32"/>
        <v>Voluntary</v>
      </c>
      <c r="N1086" s="23" t="s">
        <v>26</v>
      </c>
    </row>
    <row r="1087" spans="1:14" x14ac:dyDescent="0.25">
      <c r="A1087" s="22">
        <v>5874</v>
      </c>
      <c r="B1087" s="3">
        <v>41054</v>
      </c>
      <c r="C1087" s="3">
        <v>44107</v>
      </c>
      <c r="D1087" s="2">
        <f t="shared" si="33"/>
        <v>8</v>
      </c>
      <c r="E1087" s="4" t="str" cm="1">
        <f t="array" ref="E1087">_xlfn.IFS(
D1087&lt;=5,"Newcomer",
D1087&lt;=10,"Proficient",
D1087&gt;10,"Expert"
)</f>
        <v>Proficient</v>
      </c>
      <c r="F1087" s="2" t="s">
        <v>100</v>
      </c>
      <c r="G1087" s="5" t="s">
        <v>42</v>
      </c>
      <c r="H1087" s="5" t="s">
        <v>105</v>
      </c>
      <c r="I1087" s="2">
        <v>13</v>
      </c>
      <c r="J1087" s="2" t="s">
        <v>17</v>
      </c>
      <c r="K1087" s="2" t="s">
        <v>18</v>
      </c>
      <c r="L1087" s="2" t="s">
        <v>96</v>
      </c>
      <c r="M1087" s="4" t="str">
        <f t="shared" si="32"/>
        <v>Involuntary</v>
      </c>
      <c r="N1087" s="23" t="s">
        <v>26</v>
      </c>
    </row>
    <row r="1088" spans="1:14" x14ac:dyDescent="0.25">
      <c r="A1088" s="22">
        <v>5882</v>
      </c>
      <c r="B1088" s="3">
        <v>41622</v>
      </c>
      <c r="C1088" s="3">
        <v>43990</v>
      </c>
      <c r="D1088" s="2">
        <f t="shared" si="33"/>
        <v>7</v>
      </c>
      <c r="E1088" s="4" t="str" cm="1">
        <f t="array" ref="E1088">_xlfn.IFS(
D1088&lt;=5,"Newcomer",
D1088&lt;=10,"Proficient",
D1088&gt;10,"Expert"
)</f>
        <v>Proficient</v>
      </c>
      <c r="F1088" s="2" t="s">
        <v>100</v>
      </c>
      <c r="G1088" s="5" t="s">
        <v>42</v>
      </c>
      <c r="H1088" s="5" t="s">
        <v>105</v>
      </c>
      <c r="I1088" s="2">
        <v>13</v>
      </c>
      <c r="J1088" s="2" t="s">
        <v>24</v>
      </c>
      <c r="K1088" s="2" t="s">
        <v>25</v>
      </c>
      <c r="L1088" s="2" t="s">
        <v>96</v>
      </c>
      <c r="M1088" s="4" t="str">
        <f t="shared" si="32"/>
        <v>Involuntary</v>
      </c>
      <c r="N1088" s="23" t="s">
        <v>26</v>
      </c>
    </row>
    <row r="1089" spans="1:14" x14ac:dyDescent="0.25">
      <c r="A1089" s="22">
        <v>5892</v>
      </c>
      <c r="B1089" s="3">
        <v>39851</v>
      </c>
      <c r="C1089" s="3">
        <v>43873</v>
      </c>
      <c r="D1089" s="2">
        <f t="shared" si="33"/>
        <v>11</v>
      </c>
      <c r="E1089" s="4" t="str" cm="1">
        <f t="array" ref="E1089">_xlfn.IFS(
D1089&lt;=5,"Newcomer",
D1089&lt;=10,"Proficient",
D1089&gt;10,"Expert"
)</f>
        <v>Expert</v>
      </c>
      <c r="F1089" s="2" t="s">
        <v>30</v>
      </c>
      <c r="G1089" s="5" t="s">
        <v>42</v>
      </c>
      <c r="H1089" s="5" t="s">
        <v>105</v>
      </c>
      <c r="I1089" s="2">
        <v>46</v>
      </c>
      <c r="J1089" s="2" t="s">
        <v>24</v>
      </c>
      <c r="K1089" s="2" t="s">
        <v>25</v>
      </c>
      <c r="L1089" s="2" t="s">
        <v>50</v>
      </c>
      <c r="M1089" s="4" t="str">
        <f t="shared" si="32"/>
        <v>Voluntary</v>
      </c>
      <c r="N1089" s="23" t="s">
        <v>26</v>
      </c>
    </row>
    <row r="1090" spans="1:14" x14ac:dyDescent="0.25">
      <c r="A1090" s="22">
        <v>5920</v>
      </c>
      <c r="B1090" s="3">
        <v>36755</v>
      </c>
      <c r="C1090" s="3">
        <v>43887</v>
      </c>
      <c r="D1090" s="2">
        <f t="shared" si="33"/>
        <v>20</v>
      </c>
      <c r="E1090" s="4" t="str" cm="1">
        <f t="array" ref="E1090">_xlfn.IFS(
D1090&lt;=5,"Newcomer",
D1090&lt;=10,"Proficient",
D1090&gt;10,"Expert"
)</f>
        <v>Expert</v>
      </c>
      <c r="F1090" s="2" t="s">
        <v>104</v>
      </c>
      <c r="G1090" s="5" t="s">
        <v>71</v>
      </c>
      <c r="H1090" s="5" t="s">
        <v>116</v>
      </c>
      <c r="I1090" s="2">
        <v>39</v>
      </c>
      <c r="J1090" s="2" t="s">
        <v>17</v>
      </c>
      <c r="K1090" s="2" t="s">
        <v>18</v>
      </c>
      <c r="L1090" s="2" t="s">
        <v>96</v>
      </c>
      <c r="M1090" s="4" t="str">
        <f t="shared" ref="M1090:M1153" si="34">IF(OR(L1090="Retirement",L1090="Resignation"),"Voluntary","Involuntary")</f>
        <v>Involuntary</v>
      </c>
      <c r="N1090" s="23" t="s">
        <v>26</v>
      </c>
    </row>
    <row r="1091" spans="1:14" x14ac:dyDescent="0.25">
      <c r="A1091" s="22">
        <v>5930</v>
      </c>
      <c r="B1091" s="3">
        <v>42129</v>
      </c>
      <c r="C1091" s="3">
        <v>43964</v>
      </c>
      <c r="D1091" s="2">
        <f t="shared" ref="D1091:D1154" si="35">YEAR(C1091)-YEAR(B1091)</f>
        <v>5</v>
      </c>
      <c r="E1091" s="4" t="str" cm="1">
        <f t="array" ref="E1091">_xlfn.IFS(
D1091&lt;=5,"Newcomer",
D1091&lt;=10,"Proficient",
D1091&gt;10,"Expert"
)</f>
        <v>Newcomer</v>
      </c>
      <c r="F1091" s="2" t="s">
        <v>100</v>
      </c>
      <c r="G1091" s="5" t="s">
        <v>47</v>
      </c>
      <c r="H1091" s="5" t="s">
        <v>95</v>
      </c>
      <c r="I1091" s="2">
        <v>13</v>
      </c>
      <c r="J1091" s="2" t="s">
        <v>17</v>
      </c>
      <c r="K1091" s="2" t="s">
        <v>18</v>
      </c>
      <c r="L1091" s="2" t="s">
        <v>96</v>
      </c>
      <c r="M1091" s="4" t="str">
        <f t="shared" si="34"/>
        <v>Involuntary</v>
      </c>
      <c r="N1091" s="23" t="s">
        <v>26</v>
      </c>
    </row>
    <row r="1092" spans="1:14" x14ac:dyDescent="0.25">
      <c r="A1092" s="22">
        <v>5942</v>
      </c>
      <c r="B1092" s="3">
        <v>36510</v>
      </c>
      <c r="C1092" s="3">
        <v>44176</v>
      </c>
      <c r="D1092" s="2">
        <f t="shared" si="35"/>
        <v>21</v>
      </c>
      <c r="E1092" s="4" t="str" cm="1">
        <f t="array" ref="E1092">_xlfn.IFS(
D1092&lt;=5,"Newcomer",
D1092&lt;=10,"Proficient",
D1092&gt;10,"Expert"
)</f>
        <v>Expert</v>
      </c>
      <c r="F1092" s="2" t="s">
        <v>107</v>
      </c>
      <c r="G1092" s="5" t="s">
        <v>62</v>
      </c>
      <c r="H1092" s="5" t="s">
        <v>63</v>
      </c>
      <c r="I1092" s="2">
        <v>11</v>
      </c>
      <c r="J1092" s="2" t="s">
        <v>24</v>
      </c>
      <c r="K1092" s="2" t="s">
        <v>25</v>
      </c>
      <c r="L1092" s="2" t="s">
        <v>96</v>
      </c>
      <c r="M1092" s="4" t="str">
        <f t="shared" si="34"/>
        <v>Involuntary</v>
      </c>
      <c r="N1092" s="23" t="s">
        <v>26</v>
      </c>
    </row>
    <row r="1093" spans="1:14" x14ac:dyDescent="0.25">
      <c r="A1093" s="22">
        <v>5951</v>
      </c>
      <c r="B1093" s="3">
        <v>40633</v>
      </c>
      <c r="C1093" s="3">
        <v>43972</v>
      </c>
      <c r="D1093" s="2">
        <f t="shared" si="35"/>
        <v>9</v>
      </c>
      <c r="E1093" s="4" t="str" cm="1">
        <f t="array" ref="E1093">_xlfn.IFS(
D1093&lt;=5,"Newcomer",
D1093&lt;=10,"Proficient",
D1093&gt;10,"Expert"
)</f>
        <v>Proficient</v>
      </c>
      <c r="F1093" s="2" t="s">
        <v>114</v>
      </c>
      <c r="G1093" s="5" t="s">
        <v>67</v>
      </c>
      <c r="H1093" s="5" t="s">
        <v>113</v>
      </c>
      <c r="I1093" s="2">
        <v>27</v>
      </c>
      <c r="J1093" s="2" t="s">
        <v>24</v>
      </c>
      <c r="K1093" s="2" t="s">
        <v>25</v>
      </c>
      <c r="L1093" s="2" t="s">
        <v>96</v>
      </c>
      <c r="M1093" s="4" t="str">
        <f t="shared" si="34"/>
        <v>Involuntary</v>
      </c>
      <c r="N1093" s="23" t="s">
        <v>26</v>
      </c>
    </row>
    <row r="1094" spans="1:14" x14ac:dyDescent="0.25">
      <c r="A1094" s="22">
        <v>5959</v>
      </c>
      <c r="B1094" s="3">
        <v>34103</v>
      </c>
      <c r="C1094" s="3">
        <v>43899</v>
      </c>
      <c r="D1094" s="2">
        <f t="shared" si="35"/>
        <v>27</v>
      </c>
      <c r="E1094" s="4" t="str" cm="1">
        <f t="array" ref="E1094">_xlfn.IFS(
D1094&lt;=5,"Newcomer",
D1094&lt;=10,"Proficient",
D1094&gt;10,"Expert"
)</f>
        <v>Expert</v>
      </c>
      <c r="F1094" s="2" t="s">
        <v>104</v>
      </c>
      <c r="G1094" s="5" t="s">
        <v>71</v>
      </c>
      <c r="H1094" s="5" t="s">
        <v>116</v>
      </c>
      <c r="I1094" s="2">
        <v>39</v>
      </c>
      <c r="J1094" s="2" t="s">
        <v>24</v>
      </c>
      <c r="K1094" s="2" t="s">
        <v>25</v>
      </c>
      <c r="L1094" s="2" t="s">
        <v>96</v>
      </c>
      <c r="M1094" s="4" t="str">
        <f t="shared" si="34"/>
        <v>Involuntary</v>
      </c>
      <c r="N1094" s="23" t="s">
        <v>26</v>
      </c>
    </row>
    <row r="1095" spans="1:14" x14ac:dyDescent="0.25">
      <c r="A1095" s="22">
        <v>5961</v>
      </c>
      <c r="B1095" s="3">
        <v>34887</v>
      </c>
      <c r="C1095" s="3">
        <v>43861</v>
      </c>
      <c r="D1095" s="2">
        <f t="shared" si="35"/>
        <v>25</v>
      </c>
      <c r="E1095" s="4" t="str" cm="1">
        <f t="array" ref="E1095">_xlfn.IFS(
D1095&lt;=5,"Newcomer",
D1095&lt;=10,"Proficient",
D1095&gt;10,"Expert"
)</f>
        <v>Expert</v>
      </c>
      <c r="F1095" s="2" t="s">
        <v>14</v>
      </c>
      <c r="G1095" s="5" t="s">
        <v>42</v>
      </c>
      <c r="H1095" s="5" t="s">
        <v>105</v>
      </c>
      <c r="I1095" s="2">
        <v>43</v>
      </c>
      <c r="J1095" s="2" t="s">
        <v>24</v>
      </c>
      <c r="K1095" s="2" t="s">
        <v>25</v>
      </c>
      <c r="L1095" s="2" t="s">
        <v>50</v>
      </c>
      <c r="M1095" s="4" t="str">
        <f t="shared" si="34"/>
        <v>Voluntary</v>
      </c>
      <c r="N1095" s="23" t="s">
        <v>26</v>
      </c>
    </row>
    <row r="1096" spans="1:14" x14ac:dyDescent="0.25">
      <c r="A1096" s="22">
        <v>5965</v>
      </c>
      <c r="B1096" s="3">
        <v>33805</v>
      </c>
      <c r="C1096" s="3">
        <v>43898</v>
      </c>
      <c r="D1096" s="2">
        <f t="shared" si="35"/>
        <v>28</v>
      </c>
      <c r="E1096" s="4" t="str" cm="1">
        <f t="array" ref="E1096">_xlfn.IFS(
D1096&lt;=5,"Newcomer",
D1096&lt;=10,"Proficient",
D1096&gt;10,"Expert"
)</f>
        <v>Expert</v>
      </c>
      <c r="F1096" s="2" t="s">
        <v>14</v>
      </c>
      <c r="G1096" s="5" t="s">
        <v>42</v>
      </c>
      <c r="H1096" s="5" t="s">
        <v>105</v>
      </c>
      <c r="I1096" s="2">
        <v>43</v>
      </c>
      <c r="J1096" s="2" t="s">
        <v>24</v>
      </c>
      <c r="K1096" s="2" t="s">
        <v>25</v>
      </c>
      <c r="L1096" s="2" t="s">
        <v>50</v>
      </c>
      <c r="M1096" s="4" t="str">
        <f t="shared" si="34"/>
        <v>Voluntary</v>
      </c>
      <c r="N1096" s="23" t="s">
        <v>26</v>
      </c>
    </row>
    <row r="1097" spans="1:14" x14ac:dyDescent="0.25">
      <c r="A1097" s="22">
        <v>5974</v>
      </c>
      <c r="B1097" s="3">
        <v>37225</v>
      </c>
      <c r="C1097" s="3">
        <v>43870</v>
      </c>
      <c r="D1097" s="2">
        <f t="shared" si="35"/>
        <v>19</v>
      </c>
      <c r="E1097" s="4" t="str" cm="1">
        <f t="array" ref="E1097">_xlfn.IFS(
D1097&lt;=5,"Newcomer",
D1097&lt;=10,"Proficient",
D1097&gt;10,"Expert"
)</f>
        <v>Expert</v>
      </c>
      <c r="F1097" s="2" t="s">
        <v>107</v>
      </c>
      <c r="G1097" s="5" t="s">
        <v>62</v>
      </c>
      <c r="H1097" s="5" t="s">
        <v>63</v>
      </c>
      <c r="I1097" s="2">
        <v>11</v>
      </c>
      <c r="J1097" s="2" t="s">
        <v>17</v>
      </c>
      <c r="K1097" s="2" t="s">
        <v>18</v>
      </c>
      <c r="L1097" s="2" t="s">
        <v>96</v>
      </c>
      <c r="M1097" s="4" t="str">
        <f t="shared" si="34"/>
        <v>Involuntary</v>
      </c>
      <c r="N1097" s="23" t="s">
        <v>26</v>
      </c>
    </row>
    <row r="1098" spans="1:14" x14ac:dyDescent="0.25">
      <c r="A1098" s="22">
        <v>5978</v>
      </c>
      <c r="B1098" s="3">
        <v>33450</v>
      </c>
      <c r="C1098" s="3">
        <v>44067</v>
      </c>
      <c r="D1098" s="2">
        <f t="shared" si="35"/>
        <v>29</v>
      </c>
      <c r="E1098" s="4" t="str" cm="1">
        <f t="array" ref="E1098">_xlfn.IFS(
D1098&lt;=5,"Newcomer",
D1098&lt;=10,"Proficient",
D1098&gt;10,"Expert"
)</f>
        <v>Expert</v>
      </c>
      <c r="F1098" s="2" t="s">
        <v>14</v>
      </c>
      <c r="G1098" s="5" t="s">
        <v>42</v>
      </c>
      <c r="H1098" s="5" t="s">
        <v>105</v>
      </c>
      <c r="I1098" s="2">
        <v>43</v>
      </c>
      <c r="J1098" s="2" t="s">
        <v>24</v>
      </c>
      <c r="K1098" s="2" t="s">
        <v>25</v>
      </c>
      <c r="L1098" s="2" t="s">
        <v>50</v>
      </c>
      <c r="M1098" s="4" t="str">
        <f t="shared" si="34"/>
        <v>Voluntary</v>
      </c>
      <c r="N1098" s="23" t="s">
        <v>26</v>
      </c>
    </row>
    <row r="1099" spans="1:14" x14ac:dyDescent="0.25">
      <c r="A1099" s="22">
        <v>6017</v>
      </c>
      <c r="B1099" s="3">
        <v>33840</v>
      </c>
      <c r="C1099" s="3">
        <v>44008</v>
      </c>
      <c r="D1099" s="2">
        <f t="shared" si="35"/>
        <v>28</v>
      </c>
      <c r="E1099" s="4" t="str" cm="1">
        <f t="array" ref="E1099">_xlfn.IFS(
D1099&lt;=5,"Newcomer",
D1099&lt;=10,"Proficient",
D1099&gt;10,"Expert"
)</f>
        <v>Expert</v>
      </c>
      <c r="F1099" s="2" t="s">
        <v>81</v>
      </c>
      <c r="G1099" s="5" t="s">
        <v>62</v>
      </c>
      <c r="H1099" s="5" t="s">
        <v>63</v>
      </c>
      <c r="I1099" s="2">
        <v>5</v>
      </c>
      <c r="J1099" s="2" t="s">
        <v>17</v>
      </c>
      <c r="K1099" s="2" t="s">
        <v>18</v>
      </c>
      <c r="L1099" s="2" t="s">
        <v>50</v>
      </c>
      <c r="M1099" s="4" t="str">
        <f t="shared" si="34"/>
        <v>Voluntary</v>
      </c>
      <c r="N1099" s="23" t="s">
        <v>26</v>
      </c>
    </row>
    <row r="1100" spans="1:14" x14ac:dyDescent="0.25">
      <c r="A1100" s="22">
        <v>6046</v>
      </c>
      <c r="B1100" s="3">
        <v>33254</v>
      </c>
      <c r="C1100" s="3">
        <v>44010</v>
      </c>
      <c r="D1100" s="2">
        <f t="shared" si="35"/>
        <v>29</v>
      </c>
      <c r="E1100" s="4" t="str" cm="1">
        <f t="array" ref="E1100">_xlfn.IFS(
D1100&lt;=5,"Newcomer",
D1100&lt;=10,"Proficient",
D1100&gt;10,"Expert"
)</f>
        <v>Expert</v>
      </c>
      <c r="F1100" s="2" t="s">
        <v>27</v>
      </c>
      <c r="G1100" s="5" t="s">
        <v>62</v>
      </c>
      <c r="H1100" s="5" t="s">
        <v>63</v>
      </c>
      <c r="I1100" s="2">
        <v>16</v>
      </c>
      <c r="J1100" s="2" t="s">
        <v>17</v>
      </c>
      <c r="K1100" s="2" t="s">
        <v>18</v>
      </c>
      <c r="L1100" s="2" t="s">
        <v>50</v>
      </c>
      <c r="M1100" s="4" t="str">
        <f t="shared" si="34"/>
        <v>Voluntary</v>
      </c>
      <c r="N1100" s="23" t="s">
        <v>26</v>
      </c>
    </row>
    <row r="1101" spans="1:14" x14ac:dyDescent="0.25">
      <c r="A1101" s="22">
        <v>6064</v>
      </c>
      <c r="B1101" s="3">
        <v>35286</v>
      </c>
      <c r="C1101" s="3">
        <v>43995</v>
      </c>
      <c r="D1101" s="2">
        <f t="shared" si="35"/>
        <v>24</v>
      </c>
      <c r="E1101" s="4" t="str" cm="1">
        <f t="array" ref="E1101">_xlfn.IFS(
D1101&lt;=5,"Newcomer",
D1101&lt;=10,"Proficient",
D1101&gt;10,"Expert"
)</f>
        <v>Expert</v>
      </c>
      <c r="F1101" s="2" t="s">
        <v>106</v>
      </c>
      <c r="G1101" s="5" t="s">
        <v>42</v>
      </c>
      <c r="H1101" s="5" t="s">
        <v>105</v>
      </c>
      <c r="I1101" s="2">
        <v>20</v>
      </c>
      <c r="J1101" s="2" t="s">
        <v>24</v>
      </c>
      <c r="K1101" s="2" t="s">
        <v>25</v>
      </c>
      <c r="L1101" s="2" t="s">
        <v>96</v>
      </c>
      <c r="M1101" s="4" t="str">
        <f t="shared" si="34"/>
        <v>Involuntary</v>
      </c>
      <c r="N1101" s="23" t="s">
        <v>26</v>
      </c>
    </row>
    <row r="1102" spans="1:14" x14ac:dyDescent="0.25">
      <c r="A1102" s="22">
        <v>6082</v>
      </c>
      <c r="B1102" s="3">
        <v>40441</v>
      </c>
      <c r="C1102" s="3">
        <v>44181</v>
      </c>
      <c r="D1102" s="2">
        <f t="shared" si="35"/>
        <v>10</v>
      </c>
      <c r="E1102" s="4" t="str" cm="1">
        <f t="array" ref="E1102">_xlfn.IFS(
D1102&lt;=5,"Newcomer",
D1102&lt;=10,"Proficient",
D1102&gt;10,"Expert"
)</f>
        <v>Proficient</v>
      </c>
      <c r="F1102" s="2" t="s">
        <v>78</v>
      </c>
      <c r="G1102" s="5" t="s">
        <v>62</v>
      </c>
      <c r="H1102" s="5" t="s">
        <v>63</v>
      </c>
      <c r="I1102" s="2">
        <v>21</v>
      </c>
      <c r="J1102" s="2" t="s">
        <v>17</v>
      </c>
      <c r="K1102" s="2" t="s">
        <v>18</v>
      </c>
      <c r="L1102" s="2" t="s">
        <v>50</v>
      </c>
      <c r="M1102" s="4" t="str">
        <f t="shared" si="34"/>
        <v>Voluntary</v>
      </c>
      <c r="N1102" s="23" t="s">
        <v>26</v>
      </c>
    </row>
    <row r="1103" spans="1:14" x14ac:dyDescent="0.25">
      <c r="A1103" s="22">
        <v>6092</v>
      </c>
      <c r="B1103" s="3">
        <v>36877</v>
      </c>
      <c r="C1103" s="3">
        <v>44033</v>
      </c>
      <c r="D1103" s="2">
        <f t="shared" si="35"/>
        <v>20</v>
      </c>
      <c r="E1103" s="4" t="str" cm="1">
        <f t="array" ref="E1103">_xlfn.IFS(
D1103&lt;=5,"Newcomer",
D1103&lt;=10,"Proficient",
D1103&gt;10,"Expert"
)</f>
        <v>Expert</v>
      </c>
      <c r="F1103" s="2" t="s">
        <v>106</v>
      </c>
      <c r="G1103" s="5" t="s">
        <v>42</v>
      </c>
      <c r="H1103" s="5" t="s">
        <v>105</v>
      </c>
      <c r="I1103" s="2">
        <v>20</v>
      </c>
      <c r="J1103" s="2" t="s">
        <v>17</v>
      </c>
      <c r="K1103" s="2" t="s">
        <v>18</v>
      </c>
      <c r="L1103" s="2" t="s">
        <v>50</v>
      </c>
      <c r="M1103" s="4" t="str">
        <f t="shared" si="34"/>
        <v>Voluntary</v>
      </c>
      <c r="N1103" s="23" t="s">
        <v>26</v>
      </c>
    </row>
    <row r="1104" spans="1:14" x14ac:dyDescent="0.25">
      <c r="A1104" s="22">
        <v>6111</v>
      </c>
      <c r="B1104" s="3">
        <v>38652</v>
      </c>
      <c r="C1104" s="3">
        <v>43912</v>
      </c>
      <c r="D1104" s="2">
        <f t="shared" si="35"/>
        <v>15</v>
      </c>
      <c r="E1104" s="4" t="str" cm="1">
        <f t="array" ref="E1104">_xlfn.IFS(
D1104&lt;=5,"Newcomer",
D1104&lt;=10,"Proficient",
D1104&gt;10,"Expert"
)</f>
        <v>Expert</v>
      </c>
      <c r="F1104" s="2" t="s">
        <v>114</v>
      </c>
      <c r="G1104" s="5" t="s">
        <v>47</v>
      </c>
      <c r="H1104" s="5" t="s">
        <v>95</v>
      </c>
      <c r="I1104" s="2">
        <v>27</v>
      </c>
      <c r="J1104" s="2" t="s">
        <v>17</v>
      </c>
      <c r="K1104" s="2" t="s">
        <v>18</v>
      </c>
      <c r="L1104" s="2" t="s">
        <v>96</v>
      </c>
      <c r="M1104" s="4" t="str">
        <f t="shared" si="34"/>
        <v>Involuntary</v>
      </c>
      <c r="N1104" s="23" t="s">
        <v>26</v>
      </c>
    </row>
    <row r="1105" spans="1:14" x14ac:dyDescent="0.25">
      <c r="A1105" s="22">
        <v>6130</v>
      </c>
      <c r="B1105" s="3">
        <v>38698</v>
      </c>
      <c r="C1105" s="3">
        <v>44021</v>
      </c>
      <c r="D1105" s="2">
        <f t="shared" si="35"/>
        <v>15</v>
      </c>
      <c r="E1105" s="4" t="str" cm="1">
        <f t="array" ref="E1105">_xlfn.IFS(
D1105&lt;=5,"Newcomer",
D1105&lt;=10,"Proficient",
D1105&gt;10,"Expert"
)</f>
        <v>Expert</v>
      </c>
      <c r="F1105" s="2" t="s">
        <v>86</v>
      </c>
      <c r="G1105" s="5" t="s">
        <v>47</v>
      </c>
      <c r="H1105" s="5" t="s">
        <v>95</v>
      </c>
      <c r="I1105" s="2">
        <v>8</v>
      </c>
      <c r="J1105" s="2" t="s">
        <v>17</v>
      </c>
      <c r="K1105" s="2" t="s">
        <v>18</v>
      </c>
      <c r="L1105" s="2" t="s">
        <v>50</v>
      </c>
      <c r="M1105" s="4" t="str">
        <f t="shared" si="34"/>
        <v>Voluntary</v>
      </c>
      <c r="N1105" s="23" t="s">
        <v>26</v>
      </c>
    </row>
    <row r="1106" spans="1:14" x14ac:dyDescent="0.25">
      <c r="A1106" s="22">
        <v>6133</v>
      </c>
      <c r="B1106" s="3">
        <v>35210</v>
      </c>
      <c r="C1106" s="3">
        <v>43952</v>
      </c>
      <c r="D1106" s="2">
        <f t="shared" si="35"/>
        <v>24</v>
      </c>
      <c r="E1106" s="4" t="str" cm="1">
        <f t="array" ref="E1106">_xlfn.IFS(
D1106&lt;=5,"Newcomer",
D1106&lt;=10,"Proficient",
D1106&gt;10,"Expert"
)</f>
        <v>Expert</v>
      </c>
      <c r="F1106" s="2" t="s">
        <v>30</v>
      </c>
      <c r="G1106" s="5" t="s">
        <v>47</v>
      </c>
      <c r="H1106" s="5" t="s">
        <v>95</v>
      </c>
      <c r="I1106" s="2">
        <v>46</v>
      </c>
      <c r="J1106" s="2" t="s">
        <v>17</v>
      </c>
      <c r="K1106" s="2" t="s">
        <v>18</v>
      </c>
      <c r="L1106" s="2" t="s">
        <v>50</v>
      </c>
      <c r="M1106" s="4" t="str">
        <f t="shared" si="34"/>
        <v>Voluntary</v>
      </c>
      <c r="N1106" s="23" t="s">
        <v>26</v>
      </c>
    </row>
    <row r="1107" spans="1:14" x14ac:dyDescent="0.25">
      <c r="A1107" s="22">
        <v>6134</v>
      </c>
      <c r="B1107" s="3">
        <v>41825</v>
      </c>
      <c r="C1107" s="3">
        <v>43987</v>
      </c>
      <c r="D1107" s="2">
        <f t="shared" si="35"/>
        <v>6</v>
      </c>
      <c r="E1107" s="4" t="str" cm="1">
        <f t="array" ref="E1107">_xlfn.IFS(
D1107&lt;=5,"Newcomer",
D1107&lt;=10,"Proficient",
D1107&gt;10,"Expert"
)</f>
        <v>Proficient</v>
      </c>
      <c r="F1107" s="2" t="s">
        <v>107</v>
      </c>
      <c r="G1107" s="5" t="s">
        <v>62</v>
      </c>
      <c r="H1107" s="5" t="s">
        <v>63</v>
      </c>
      <c r="I1107" s="2">
        <v>11</v>
      </c>
      <c r="J1107" s="2" t="s">
        <v>24</v>
      </c>
      <c r="K1107" s="2" t="s">
        <v>25</v>
      </c>
      <c r="L1107" s="2" t="s">
        <v>96</v>
      </c>
      <c r="M1107" s="4" t="str">
        <f t="shared" si="34"/>
        <v>Involuntary</v>
      </c>
      <c r="N1107" s="23" t="s">
        <v>26</v>
      </c>
    </row>
    <row r="1108" spans="1:14" x14ac:dyDescent="0.25">
      <c r="A1108" s="22">
        <v>6136</v>
      </c>
      <c r="B1108" s="3">
        <v>38744</v>
      </c>
      <c r="C1108" s="3">
        <v>44183</v>
      </c>
      <c r="D1108" s="2">
        <f t="shared" si="35"/>
        <v>14</v>
      </c>
      <c r="E1108" s="4" t="str" cm="1">
        <f t="array" ref="E1108">_xlfn.IFS(
D1108&lt;=5,"Newcomer",
D1108&lt;=10,"Proficient",
D1108&gt;10,"Expert"
)</f>
        <v>Expert</v>
      </c>
      <c r="F1108" s="2" t="s">
        <v>14</v>
      </c>
      <c r="G1108" s="5" t="s">
        <v>47</v>
      </c>
      <c r="H1108" s="5" t="s">
        <v>95</v>
      </c>
      <c r="I1108" s="2">
        <v>43</v>
      </c>
      <c r="J1108" s="2" t="s">
        <v>24</v>
      </c>
      <c r="K1108" s="2" t="s">
        <v>25</v>
      </c>
      <c r="L1108" s="2" t="s">
        <v>50</v>
      </c>
      <c r="M1108" s="4" t="str">
        <f t="shared" si="34"/>
        <v>Voluntary</v>
      </c>
      <c r="N1108" s="23" t="s">
        <v>26</v>
      </c>
    </row>
    <row r="1109" spans="1:14" x14ac:dyDescent="0.25">
      <c r="A1109" s="22">
        <v>6147</v>
      </c>
      <c r="B1109" s="3">
        <v>42114</v>
      </c>
      <c r="C1109" s="3">
        <v>43976</v>
      </c>
      <c r="D1109" s="2">
        <f t="shared" si="35"/>
        <v>5</v>
      </c>
      <c r="E1109" s="4" t="str" cm="1">
        <f t="array" ref="E1109">_xlfn.IFS(
D1109&lt;=5,"Newcomer",
D1109&lt;=10,"Proficient",
D1109&gt;10,"Expert"
)</f>
        <v>Newcomer</v>
      </c>
      <c r="F1109" s="2" t="s">
        <v>101</v>
      </c>
      <c r="G1109" s="5" t="s">
        <v>62</v>
      </c>
      <c r="H1109" s="5" t="s">
        <v>63</v>
      </c>
      <c r="I1109" s="2">
        <v>38</v>
      </c>
      <c r="J1109" s="2" t="s">
        <v>17</v>
      </c>
      <c r="K1109" s="2" t="s">
        <v>18</v>
      </c>
      <c r="L1109" s="2" t="s">
        <v>50</v>
      </c>
      <c r="M1109" s="4" t="str">
        <f t="shared" si="34"/>
        <v>Voluntary</v>
      </c>
      <c r="N1109" s="23" t="s">
        <v>26</v>
      </c>
    </row>
    <row r="1110" spans="1:14" x14ac:dyDescent="0.25">
      <c r="A1110" s="22">
        <v>6167</v>
      </c>
      <c r="B1110" s="3">
        <v>37766</v>
      </c>
      <c r="C1110" s="3">
        <v>44036</v>
      </c>
      <c r="D1110" s="2">
        <f t="shared" si="35"/>
        <v>17</v>
      </c>
      <c r="E1110" s="4" t="str" cm="1">
        <f t="array" ref="E1110">_xlfn.IFS(
D1110&lt;=5,"Newcomer",
D1110&lt;=10,"Proficient",
D1110&gt;10,"Expert"
)</f>
        <v>Expert</v>
      </c>
      <c r="F1110" s="2" t="s">
        <v>41</v>
      </c>
      <c r="G1110" s="5" t="s">
        <v>62</v>
      </c>
      <c r="H1110" s="5" t="s">
        <v>63</v>
      </c>
      <c r="I1110" s="2">
        <v>15</v>
      </c>
      <c r="J1110" s="2" t="s">
        <v>17</v>
      </c>
      <c r="K1110" s="2" t="s">
        <v>18</v>
      </c>
      <c r="L1110" s="2" t="s">
        <v>50</v>
      </c>
      <c r="M1110" s="4" t="str">
        <f t="shared" si="34"/>
        <v>Voluntary</v>
      </c>
      <c r="N1110" s="23" t="s">
        <v>26</v>
      </c>
    </row>
    <row r="1111" spans="1:14" x14ac:dyDescent="0.25">
      <c r="A1111" s="22">
        <v>6185</v>
      </c>
      <c r="B1111" s="3">
        <v>33097</v>
      </c>
      <c r="C1111" s="3">
        <v>43853</v>
      </c>
      <c r="D1111" s="2">
        <f t="shared" si="35"/>
        <v>30</v>
      </c>
      <c r="E1111" s="4" t="str" cm="1">
        <f t="array" ref="E1111">_xlfn.IFS(
D1111&lt;=5,"Newcomer",
D1111&lt;=10,"Proficient",
D1111&gt;10,"Expert"
)</f>
        <v>Expert</v>
      </c>
      <c r="F1111" s="2" t="s">
        <v>100</v>
      </c>
      <c r="G1111" s="5" t="s">
        <v>47</v>
      </c>
      <c r="H1111" s="5" t="s">
        <v>95</v>
      </c>
      <c r="I1111" s="2">
        <v>13</v>
      </c>
      <c r="J1111" s="2" t="s">
        <v>24</v>
      </c>
      <c r="K1111" s="2" t="s">
        <v>25</v>
      </c>
      <c r="L1111" s="2" t="s">
        <v>96</v>
      </c>
      <c r="M1111" s="4" t="str">
        <f t="shared" si="34"/>
        <v>Involuntary</v>
      </c>
      <c r="N1111" s="23" t="s">
        <v>26</v>
      </c>
    </row>
    <row r="1112" spans="1:14" x14ac:dyDescent="0.25">
      <c r="A1112" s="22">
        <v>6192</v>
      </c>
      <c r="B1112" s="3">
        <v>40915</v>
      </c>
      <c r="C1112" s="3">
        <v>43986</v>
      </c>
      <c r="D1112" s="2">
        <f t="shared" si="35"/>
        <v>8</v>
      </c>
      <c r="E1112" s="4" t="str" cm="1">
        <f t="array" ref="E1112">_xlfn.IFS(
D1112&lt;=5,"Newcomer",
D1112&lt;=10,"Proficient",
D1112&gt;10,"Expert"
)</f>
        <v>Proficient</v>
      </c>
      <c r="F1112" s="2" t="s">
        <v>100</v>
      </c>
      <c r="G1112" s="5" t="s">
        <v>47</v>
      </c>
      <c r="H1112" s="5" t="s">
        <v>95</v>
      </c>
      <c r="I1112" s="2">
        <v>13</v>
      </c>
      <c r="J1112" s="2" t="s">
        <v>24</v>
      </c>
      <c r="K1112" s="2" t="s">
        <v>25</v>
      </c>
      <c r="L1112" s="2" t="s">
        <v>96</v>
      </c>
      <c r="M1112" s="4" t="str">
        <f t="shared" si="34"/>
        <v>Involuntary</v>
      </c>
      <c r="N1112" s="23" t="s">
        <v>26</v>
      </c>
    </row>
    <row r="1113" spans="1:14" x14ac:dyDescent="0.25">
      <c r="A1113" s="22">
        <v>6195</v>
      </c>
      <c r="B1113" s="3">
        <v>40949</v>
      </c>
      <c r="C1113" s="3">
        <v>43874</v>
      </c>
      <c r="D1113" s="2">
        <f t="shared" si="35"/>
        <v>8</v>
      </c>
      <c r="E1113" s="4" t="str" cm="1">
        <f t="array" ref="E1113">_xlfn.IFS(
D1113&lt;=5,"Newcomer",
D1113&lt;=10,"Proficient",
D1113&gt;10,"Expert"
)</f>
        <v>Proficient</v>
      </c>
      <c r="F1113" s="2" t="s">
        <v>100</v>
      </c>
      <c r="G1113" s="5" t="s">
        <v>47</v>
      </c>
      <c r="H1113" s="5" t="s">
        <v>95</v>
      </c>
      <c r="I1113" s="2">
        <v>13</v>
      </c>
      <c r="J1113" s="2" t="s">
        <v>17</v>
      </c>
      <c r="K1113" s="2" t="s">
        <v>18</v>
      </c>
      <c r="L1113" s="2" t="s">
        <v>96</v>
      </c>
      <c r="M1113" s="4" t="str">
        <f t="shared" si="34"/>
        <v>Involuntary</v>
      </c>
      <c r="N1113" s="23" t="s">
        <v>26</v>
      </c>
    </row>
    <row r="1114" spans="1:14" x14ac:dyDescent="0.25">
      <c r="A1114" s="22">
        <v>6229</v>
      </c>
      <c r="B1114" s="3">
        <v>37153</v>
      </c>
      <c r="C1114" s="3">
        <v>44000</v>
      </c>
      <c r="D1114" s="2">
        <f t="shared" si="35"/>
        <v>19</v>
      </c>
      <c r="E1114" s="4" t="str" cm="1">
        <f t="array" ref="E1114">_xlfn.IFS(
D1114&lt;=5,"Newcomer",
D1114&lt;=10,"Proficient",
D1114&gt;10,"Expert"
)</f>
        <v>Expert</v>
      </c>
      <c r="F1114" s="2" t="s">
        <v>81</v>
      </c>
      <c r="G1114" s="5" t="s">
        <v>62</v>
      </c>
      <c r="H1114" s="5" t="s">
        <v>63</v>
      </c>
      <c r="I1114" s="2">
        <v>5</v>
      </c>
      <c r="J1114" s="2" t="s">
        <v>17</v>
      </c>
      <c r="K1114" s="2" t="s">
        <v>18</v>
      </c>
      <c r="L1114" s="2" t="s">
        <v>50</v>
      </c>
      <c r="M1114" s="4" t="str">
        <f t="shared" si="34"/>
        <v>Voluntary</v>
      </c>
      <c r="N1114" s="23" t="s">
        <v>26</v>
      </c>
    </row>
    <row r="1115" spans="1:14" x14ac:dyDescent="0.25">
      <c r="A1115" s="22">
        <v>6236</v>
      </c>
      <c r="B1115" s="3">
        <v>38646</v>
      </c>
      <c r="C1115" s="3">
        <v>43990</v>
      </c>
      <c r="D1115" s="2">
        <f t="shared" si="35"/>
        <v>15</v>
      </c>
      <c r="E1115" s="4" t="str" cm="1">
        <f t="array" ref="E1115">_xlfn.IFS(
D1115&lt;=5,"Newcomer",
D1115&lt;=10,"Proficient",
D1115&gt;10,"Expert"
)</f>
        <v>Expert</v>
      </c>
      <c r="F1115" s="2" t="s">
        <v>108</v>
      </c>
      <c r="G1115" s="5" t="s">
        <v>71</v>
      </c>
      <c r="H1115" s="5" t="s">
        <v>116</v>
      </c>
      <c r="I1115" s="2">
        <v>14</v>
      </c>
      <c r="J1115" s="2" t="s">
        <v>17</v>
      </c>
      <c r="K1115" s="2" t="s">
        <v>18</v>
      </c>
      <c r="L1115" s="2" t="s">
        <v>96</v>
      </c>
      <c r="M1115" s="4" t="str">
        <f t="shared" si="34"/>
        <v>Involuntary</v>
      </c>
      <c r="N1115" s="23" t="s">
        <v>26</v>
      </c>
    </row>
    <row r="1116" spans="1:14" x14ac:dyDescent="0.25">
      <c r="A1116" s="22">
        <v>6243</v>
      </c>
      <c r="B1116" s="3">
        <v>41172</v>
      </c>
      <c r="C1116" s="3">
        <v>44110</v>
      </c>
      <c r="D1116" s="2">
        <f t="shared" si="35"/>
        <v>8</v>
      </c>
      <c r="E1116" s="4" t="str" cm="1">
        <f t="array" ref="E1116">_xlfn.IFS(
D1116&lt;=5,"Newcomer",
D1116&lt;=10,"Proficient",
D1116&gt;10,"Expert"
)</f>
        <v>Proficient</v>
      </c>
      <c r="F1116" s="2" t="s">
        <v>27</v>
      </c>
      <c r="G1116" s="5" t="s">
        <v>62</v>
      </c>
      <c r="H1116" s="5" t="s">
        <v>63</v>
      </c>
      <c r="I1116" s="2">
        <v>16</v>
      </c>
      <c r="J1116" s="2" t="s">
        <v>24</v>
      </c>
      <c r="K1116" s="2" t="s">
        <v>25</v>
      </c>
      <c r="L1116" s="2" t="s">
        <v>50</v>
      </c>
      <c r="M1116" s="4" t="str">
        <f t="shared" si="34"/>
        <v>Voluntary</v>
      </c>
      <c r="N1116" s="23" t="s">
        <v>26</v>
      </c>
    </row>
    <row r="1117" spans="1:14" x14ac:dyDescent="0.25">
      <c r="A1117" s="22">
        <v>6247</v>
      </c>
      <c r="B1117" s="3">
        <v>36228</v>
      </c>
      <c r="C1117" s="3">
        <v>43853</v>
      </c>
      <c r="D1117" s="2">
        <f t="shared" si="35"/>
        <v>21</v>
      </c>
      <c r="E1117" s="4" t="str" cm="1">
        <f t="array" ref="E1117">_xlfn.IFS(
D1117&lt;=5,"Newcomer",
D1117&lt;=10,"Proficient",
D1117&gt;10,"Expert"
)</f>
        <v>Expert</v>
      </c>
      <c r="F1117" s="2" t="s">
        <v>108</v>
      </c>
      <c r="G1117" s="5" t="s">
        <v>71</v>
      </c>
      <c r="H1117" s="5" t="s">
        <v>116</v>
      </c>
      <c r="I1117" s="2">
        <v>14</v>
      </c>
      <c r="J1117" s="2" t="s">
        <v>17</v>
      </c>
      <c r="K1117" s="2" t="s">
        <v>18</v>
      </c>
      <c r="L1117" s="2" t="s">
        <v>96</v>
      </c>
      <c r="M1117" s="4" t="str">
        <f t="shared" si="34"/>
        <v>Involuntary</v>
      </c>
      <c r="N1117" s="23" t="s">
        <v>26</v>
      </c>
    </row>
    <row r="1118" spans="1:14" x14ac:dyDescent="0.25">
      <c r="A1118" s="22">
        <v>6263</v>
      </c>
      <c r="B1118" s="3">
        <v>38600</v>
      </c>
      <c r="C1118" s="3">
        <v>43966</v>
      </c>
      <c r="D1118" s="2">
        <f t="shared" si="35"/>
        <v>15</v>
      </c>
      <c r="E1118" s="4" t="str" cm="1">
        <f t="array" ref="E1118">_xlfn.IFS(
D1118&lt;=5,"Newcomer",
D1118&lt;=10,"Proficient",
D1118&gt;10,"Expert"
)</f>
        <v>Expert</v>
      </c>
      <c r="F1118" s="2" t="s">
        <v>104</v>
      </c>
      <c r="G1118" s="5" t="s">
        <v>71</v>
      </c>
      <c r="H1118" s="5" t="s">
        <v>116</v>
      </c>
      <c r="I1118" s="2">
        <v>39</v>
      </c>
      <c r="J1118" s="2" t="s">
        <v>24</v>
      </c>
      <c r="K1118" s="2" t="s">
        <v>25</v>
      </c>
      <c r="L1118" s="2" t="s">
        <v>96</v>
      </c>
      <c r="M1118" s="4" t="str">
        <f t="shared" si="34"/>
        <v>Involuntary</v>
      </c>
      <c r="N1118" s="23" t="s">
        <v>26</v>
      </c>
    </row>
    <row r="1119" spans="1:14" x14ac:dyDescent="0.25">
      <c r="A1119" s="22">
        <v>6284</v>
      </c>
      <c r="B1119" s="3">
        <v>35149</v>
      </c>
      <c r="C1119" s="3">
        <v>44172</v>
      </c>
      <c r="D1119" s="2">
        <f t="shared" si="35"/>
        <v>24</v>
      </c>
      <c r="E1119" s="4" t="str" cm="1">
        <f t="array" ref="E1119">_xlfn.IFS(
D1119&lt;=5,"Newcomer",
D1119&lt;=10,"Proficient",
D1119&gt;10,"Expert"
)</f>
        <v>Expert</v>
      </c>
      <c r="F1119" s="2" t="s">
        <v>104</v>
      </c>
      <c r="G1119" s="5" t="s">
        <v>71</v>
      </c>
      <c r="H1119" s="5" t="s">
        <v>116</v>
      </c>
      <c r="I1119" s="2">
        <v>39</v>
      </c>
      <c r="J1119" s="2" t="s">
        <v>17</v>
      </c>
      <c r="K1119" s="2" t="s">
        <v>18</v>
      </c>
      <c r="L1119" s="2" t="s">
        <v>96</v>
      </c>
      <c r="M1119" s="4" t="str">
        <f t="shared" si="34"/>
        <v>Involuntary</v>
      </c>
      <c r="N1119" s="23" t="s">
        <v>26</v>
      </c>
    </row>
    <row r="1120" spans="1:14" x14ac:dyDescent="0.25">
      <c r="A1120" s="22">
        <v>6312</v>
      </c>
      <c r="B1120" s="3">
        <v>36510</v>
      </c>
      <c r="C1120" s="3">
        <v>43876</v>
      </c>
      <c r="D1120" s="2">
        <f t="shared" si="35"/>
        <v>21</v>
      </c>
      <c r="E1120" s="4" t="str" cm="1">
        <f t="array" ref="E1120">_xlfn.IFS(
D1120&lt;=5,"Newcomer",
D1120&lt;=10,"Proficient",
D1120&gt;10,"Expert"
)</f>
        <v>Expert</v>
      </c>
      <c r="F1120" s="2" t="s">
        <v>100</v>
      </c>
      <c r="G1120" s="5" t="s">
        <v>62</v>
      </c>
      <c r="H1120" s="5" t="s">
        <v>63</v>
      </c>
      <c r="I1120" s="2">
        <v>13</v>
      </c>
      <c r="J1120" s="2" t="s">
        <v>17</v>
      </c>
      <c r="K1120" s="2" t="s">
        <v>18</v>
      </c>
      <c r="L1120" s="2" t="s">
        <v>50</v>
      </c>
      <c r="M1120" s="4" t="str">
        <f t="shared" si="34"/>
        <v>Voluntary</v>
      </c>
      <c r="N1120" s="23" t="s">
        <v>26</v>
      </c>
    </row>
    <row r="1121" spans="1:14" x14ac:dyDescent="0.25">
      <c r="A1121" s="22">
        <v>6323</v>
      </c>
      <c r="B1121" s="3">
        <v>36296</v>
      </c>
      <c r="C1121" s="3">
        <v>44033</v>
      </c>
      <c r="D1121" s="2">
        <f t="shared" si="35"/>
        <v>21</v>
      </c>
      <c r="E1121" s="4" t="str" cm="1">
        <f t="array" ref="E1121">_xlfn.IFS(
D1121&lt;=5,"Newcomer",
D1121&lt;=10,"Proficient",
D1121&gt;10,"Expert"
)</f>
        <v>Expert</v>
      </c>
      <c r="F1121" s="2" t="s">
        <v>106</v>
      </c>
      <c r="G1121" s="5" t="s">
        <v>42</v>
      </c>
      <c r="H1121" s="5" t="s">
        <v>105</v>
      </c>
      <c r="I1121" s="2">
        <v>20</v>
      </c>
      <c r="J1121" s="2" t="s">
        <v>17</v>
      </c>
      <c r="K1121" s="2" t="s">
        <v>18</v>
      </c>
      <c r="L1121" s="2" t="s">
        <v>96</v>
      </c>
      <c r="M1121" s="4" t="str">
        <f t="shared" si="34"/>
        <v>Involuntary</v>
      </c>
      <c r="N1121" s="23" t="s">
        <v>26</v>
      </c>
    </row>
    <row r="1122" spans="1:14" x14ac:dyDescent="0.25">
      <c r="A1122" s="22">
        <v>6325</v>
      </c>
      <c r="B1122" s="3">
        <v>32927</v>
      </c>
      <c r="C1122" s="3">
        <v>43856</v>
      </c>
      <c r="D1122" s="2">
        <f t="shared" si="35"/>
        <v>30</v>
      </c>
      <c r="E1122" s="4" t="str" cm="1">
        <f t="array" ref="E1122">_xlfn.IFS(
D1122&lt;=5,"Newcomer",
D1122&lt;=10,"Proficient",
D1122&gt;10,"Expert"
)</f>
        <v>Expert</v>
      </c>
      <c r="F1122" s="2" t="s">
        <v>41</v>
      </c>
      <c r="G1122" s="5" t="s">
        <v>62</v>
      </c>
      <c r="H1122" s="5" t="s">
        <v>63</v>
      </c>
      <c r="I1122" s="2">
        <v>15</v>
      </c>
      <c r="J1122" s="2" t="s">
        <v>24</v>
      </c>
      <c r="K1122" s="2" t="s">
        <v>25</v>
      </c>
      <c r="L1122" s="2" t="s">
        <v>50</v>
      </c>
      <c r="M1122" s="4" t="str">
        <f t="shared" si="34"/>
        <v>Voluntary</v>
      </c>
      <c r="N1122" s="23" t="s">
        <v>26</v>
      </c>
    </row>
    <row r="1123" spans="1:14" x14ac:dyDescent="0.25">
      <c r="A1123" s="22">
        <v>6353</v>
      </c>
      <c r="B1123" s="3">
        <v>34512</v>
      </c>
      <c r="C1123" s="3">
        <v>43928</v>
      </c>
      <c r="D1123" s="2">
        <f t="shared" si="35"/>
        <v>26</v>
      </c>
      <c r="E1123" s="4" t="str" cm="1">
        <f t="array" ref="E1123">_xlfn.IFS(
D1123&lt;=5,"Newcomer",
D1123&lt;=10,"Proficient",
D1123&gt;10,"Expert"
)</f>
        <v>Expert</v>
      </c>
      <c r="F1123" s="2" t="s">
        <v>100</v>
      </c>
      <c r="G1123" s="5" t="s">
        <v>62</v>
      </c>
      <c r="H1123" s="5" t="s">
        <v>63</v>
      </c>
      <c r="I1123" s="2">
        <v>13</v>
      </c>
      <c r="J1123" s="2" t="s">
        <v>17</v>
      </c>
      <c r="K1123" s="2" t="s">
        <v>18</v>
      </c>
      <c r="L1123" s="2" t="s">
        <v>96</v>
      </c>
      <c r="M1123" s="4" t="str">
        <f t="shared" si="34"/>
        <v>Involuntary</v>
      </c>
      <c r="N1123" s="23" t="s">
        <v>26</v>
      </c>
    </row>
    <row r="1124" spans="1:14" x14ac:dyDescent="0.25">
      <c r="A1124" s="22">
        <v>6365</v>
      </c>
      <c r="B1124" s="3">
        <v>37831</v>
      </c>
      <c r="C1124" s="3">
        <v>44017</v>
      </c>
      <c r="D1124" s="2">
        <f t="shared" si="35"/>
        <v>17</v>
      </c>
      <c r="E1124" s="4" t="str" cm="1">
        <f t="array" ref="E1124">_xlfn.IFS(
D1124&lt;=5,"Newcomer",
D1124&lt;=10,"Proficient",
D1124&gt;10,"Expert"
)</f>
        <v>Expert</v>
      </c>
      <c r="F1124" s="2" t="s">
        <v>74</v>
      </c>
      <c r="G1124" s="5" t="s">
        <v>71</v>
      </c>
      <c r="H1124" s="5" t="s">
        <v>116</v>
      </c>
      <c r="I1124" s="2">
        <v>9</v>
      </c>
      <c r="J1124" s="2" t="s">
        <v>17</v>
      </c>
      <c r="K1124" s="2" t="s">
        <v>18</v>
      </c>
      <c r="L1124" s="2" t="s">
        <v>96</v>
      </c>
      <c r="M1124" s="4" t="str">
        <f t="shared" si="34"/>
        <v>Involuntary</v>
      </c>
      <c r="N1124" s="23" t="s">
        <v>26</v>
      </c>
    </row>
    <row r="1125" spans="1:14" x14ac:dyDescent="0.25">
      <c r="A1125" s="22">
        <v>6369</v>
      </c>
      <c r="B1125" s="3">
        <v>40281</v>
      </c>
      <c r="C1125" s="3">
        <v>43946</v>
      </c>
      <c r="D1125" s="2">
        <f t="shared" si="35"/>
        <v>10</v>
      </c>
      <c r="E1125" s="4" t="str" cm="1">
        <f t="array" ref="E1125">_xlfn.IFS(
D1125&lt;=5,"Newcomer",
D1125&lt;=10,"Proficient",
D1125&gt;10,"Expert"
)</f>
        <v>Proficient</v>
      </c>
      <c r="F1125" s="2" t="s">
        <v>53</v>
      </c>
      <c r="G1125" s="5" t="s">
        <v>62</v>
      </c>
      <c r="H1125" s="5" t="s">
        <v>63</v>
      </c>
      <c r="I1125" s="2">
        <v>31</v>
      </c>
      <c r="J1125" s="2" t="s">
        <v>17</v>
      </c>
      <c r="K1125" s="2" t="s">
        <v>18</v>
      </c>
      <c r="L1125" s="2" t="s">
        <v>50</v>
      </c>
      <c r="M1125" s="4" t="str">
        <f t="shared" si="34"/>
        <v>Voluntary</v>
      </c>
      <c r="N1125" s="23" t="s">
        <v>26</v>
      </c>
    </row>
    <row r="1126" spans="1:14" x14ac:dyDescent="0.25">
      <c r="A1126" s="22">
        <v>6389</v>
      </c>
      <c r="B1126" s="3">
        <v>38143</v>
      </c>
      <c r="C1126" s="3">
        <v>44091</v>
      </c>
      <c r="D1126" s="2">
        <f t="shared" si="35"/>
        <v>16</v>
      </c>
      <c r="E1126" s="4" t="str" cm="1">
        <f t="array" ref="E1126">_xlfn.IFS(
D1126&lt;=5,"Newcomer",
D1126&lt;=10,"Proficient",
D1126&gt;10,"Expert"
)</f>
        <v>Expert</v>
      </c>
      <c r="F1126" s="2" t="s">
        <v>69</v>
      </c>
      <c r="G1126" s="5" t="s">
        <v>71</v>
      </c>
      <c r="H1126" s="5" t="s">
        <v>116</v>
      </c>
      <c r="I1126" s="2">
        <v>28</v>
      </c>
      <c r="J1126" s="2" t="s">
        <v>17</v>
      </c>
      <c r="K1126" s="2" t="s">
        <v>18</v>
      </c>
      <c r="L1126" s="2" t="s">
        <v>50</v>
      </c>
      <c r="M1126" s="4" t="str">
        <f t="shared" si="34"/>
        <v>Voluntary</v>
      </c>
      <c r="N1126" s="23" t="s">
        <v>26</v>
      </c>
    </row>
    <row r="1127" spans="1:14" x14ac:dyDescent="0.25">
      <c r="A1127" s="22">
        <v>6406</v>
      </c>
      <c r="B1127" s="3">
        <v>40151</v>
      </c>
      <c r="C1127" s="3">
        <v>43982</v>
      </c>
      <c r="D1127" s="2">
        <f t="shared" si="35"/>
        <v>11</v>
      </c>
      <c r="E1127" s="4" t="str" cm="1">
        <f t="array" ref="E1127">_xlfn.IFS(
D1127&lt;=5,"Newcomer",
D1127&lt;=10,"Proficient",
D1127&gt;10,"Expert"
)</f>
        <v>Expert</v>
      </c>
      <c r="F1127" s="2" t="s">
        <v>14</v>
      </c>
      <c r="G1127" s="5" t="s">
        <v>67</v>
      </c>
      <c r="H1127" s="5" t="s">
        <v>113</v>
      </c>
      <c r="I1127" s="2">
        <v>43</v>
      </c>
      <c r="J1127" s="2" t="s">
        <v>24</v>
      </c>
      <c r="K1127" s="2" t="s">
        <v>25</v>
      </c>
      <c r="L1127" s="2" t="s">
        <v>50</v>
      </c>
      <c r="M1127" s="4" t="str">
        <f t="shared" si="34"/>
        <v>Voluntary</v>
      </c>
      <c r="N1127" s="23" t="s">
        <v>26</v>
      </c>
    </row>
    <row r="1128" spans="1:14" x14ac:dyDescent="0.25">
      <c r="A1128" s="22">
        <v>6408</v>
      </c>
      <c r="B1128" s="3">
        <v>39825</v>
      </c>
      <c r="C1128" s="3">
        <v>43839</v>
      </c>
      <c r="D1128" s="2">
        <f t="shared" si="35"/>
        <v>11</v>
      </c>
      <c r="E1128" s="4" t="str" cm="1">
        <f t="array" ref="E1128">_xlfn.IFS(
D1128&lt;=5,"Newcomer",
D1128&lt;=10,"Proficient",
D1128&gt;10,"Expert"
)</f>
        <v>Expert</v>
      </c>
      <c r="F1128" s="2" t="s">
        <v>27</v>
      </c>
      <c r="G1128" s="5" t="s">
        <v>62</v>
      </c>
      <c r="H1128" s="5" t="s">
        <v>63</v>
      </c>
      <c r="I1128" s="2">
        <v>16</v>
      </c>
      <c r="J1128" s="2" t="s">
        <v>24</v>
      </c>
      <c r="K1128" s="2" t="s">
        <v>25</v>
      </c>
      <c r="L1128" s="2" t="s">
        <v>50</v>
      </c>
      <c r="M1128" s="4" t="str">
        <f t="shared" si="34"/>
        <v>Voluntary</v>
      </c>
      <c r="N1128" s="23" t="s">
        <v>26</v>
      </c>
    </row>
    <row r="1129" spans="1:14" x14ac:dyDescent="0.25">
      <c r="A1129" s="22">
        <v>6433</v>
      </c>
      <c r="B1129" s="3">
        <v>34857</v>
      </c>
      <c r="C1129" s="3">
        <v>43920</v>
      </c>
      <c r="D1129" s="2">
        <f t="shared" si="35"/>
        <v>25</v>
      </c>
      <c r="E1129" s="4" t="str" cm="1">
        <f t="array" ref="E1129">_xlfn.IFS(
D1129&lt;=5,"Newcomer",
D1129&lt;=10,"Proficient",
D1129&gt;10,"Expert"
)</f>
        <v>Expert</v>
      </c>
      <c r="F1129" s="2" t="s">
        <v>14</v>
      </c>
      <c r="G1129" s="5" t="s">
        <v>67</v>
      </c>
      <c r="H1129" s="5" t="s">
        <v>113</v>
      </c>
      <c r="I1129" s="2">
        <v>43</v>
      </c>
      <c r="J1129" s="2" t="s">
        <v>17</v>
      </c>
      <c r="K1129" s="2" t="s">
        <v>18</v>
      </c>
      <c r="L1129" s="2" t="s">
        <v>50</v>
      </c>
      <c r="M1129" s="4" t="str">
        <f t="shared" si="34"/>
        <v>Voluntary</v>
      </c>
      <c r="N1129" s="23" t="s">
        <v>26</v>
      </c>
    </row>
    <row r="1130" spans="1:14" x14ac:dyDescent="0.25">
      <c r="A1130" s="22">
        <v>6435</v>
      </c>
      <c r="B1130" s="3">
        <v>41484</v>
      </c>
      <c r="C1130" s="3">
        <v>44163</v>
      </c>
      <c r="D1130" s="2">
        <f t="shared" si="35"/>
        <v>7</v>
      </c>
      <c r="E1130" s="4" t="str" cm="1">
        <f t="array" ref="E1130">_xlfn.IFS(
D1130&lt;=5,"Newcomer",
D1130&lt;=10,"Proficient",
D1130&gt;10,"Expert"
)</f>
        <v>Proficient</v>
      </c>
      <c r="F1130" s="2" t="s">
        <v>14</v>
      </c>
      <c r="G1130" s="5" t="s">
        <v>67</v>
      </c>
      <c r="H1130" s="5" t="s">
        <v>113</v>
      </c>
      <c r="I1130" s="2">
        <v>43</v>
      </c>
      <c r="J1130" s="2" t="s">
        <v>24</v>
      </c>
      <c r="K1130" s="2" t="s">
        <v>25</v>
      </c>
      <c r="L1130" s="2" t="s">
        <v>50</v>
      </c>
      <c r="M1130" s="4" t="str">
        <f t="shared" si="34"/>
        <v>Voluntary</v>
      </c>
      <c r="N1130" s="23" t="s">
        <v>26</v>
      </c>
    </row>
    <row r="1131" spans="1:14" x14ac:dyDescent="0.25">
      <c r="A1131" s="22">
        <v>6441</v>
      </c>
      <c r="B1131" s="3">
        <v>38528</v>
      </c>
      <c r="C1131" s="3">
        <v>43887</v>
      </c>
      <c r="D1131" s="2">
        <f t="shared" si="35"/>
        <v>15</v>
      </c>
      <c r="E1131" s="4" t="str" cm="1">
        <f t="array" ref="E1131">_xlfn.IFS(
D1131&lt;=5,"Newcomer",
D1131&lt;=10,"Proficient",
D1131&gt;10,"Expert"
)</f>
        <v>Expert</v>
      </c>
      <c r="F1131" s="2" t="s">
        <v>107</v>
      </c>
      <c r="G1131" s="5" t="s">
        <v>62</v>
      </c>
      <c r="H1131" s="5" t="s">
        <v>63</v>
      </c>
      <c r="I1131" s="2">
        <v>11</v>
      </c>
      <c r="J1131" s="2" t="s">
        <v>24</v>
      </c>
      <c r="K1131" s="2" t="s">
        <v>25</v>
      </c>
      <c r="L1131" s="2" t="s">
        <v>96</v>
      </c>
      <c r="M1131" s="4" t="str">
        <f t="shared" si="34"/>
        <v>Involuntary</v>
      </c>
      <c r="N1131" s="23" t="s">
        <v>26</v>
      </c>
    </row>
    <row r="1132" spans="1:14" x14ac:dyDescent="0.25">
      <c r="A1132" s="22">
        <v>6451</v>
      </c>
      <c r="B1132" s="3">
        <v>41396</v>
      </c>
      <c r="C1132" s="3">
        <v>44151</v>
      </c>
      <c r="D1132" s="2">
        <f t="shared" si="35"/>
        <v>7</v>
      </c>
      <c r="E1132" s="4" t="str" cm="1">
        <f t="array" ref="E1132">_xlfn.IFS(
D1132&lt;=5,"Newcomer",
D1132&lt;=10,"Proficient",
D1132&gt;10,"Expert"
)</f>
        <v>Proficient</v>
      </c>
      <c r="F1132" s="2" t="s">
        <v>107</v>
      </c>
      <c r="G1132" s="5" t="s">
        <v>62</v>
      </c>
      <c r="H1132" s="5" t="s">
        <v>63</v>
      </c>
      <c r="I1132" s="2">
        <v>11</v>
      </c>
      <c r="J1132" s="2" t="s">
        <v>24</v>
      </c>
      <c r="K1132" s="2" t="s">
        <v>25</v>
      </c>
      <c r="L1132" s="2" t="s">
        <v>96</v>
      </c>
      <c r="M1132" s="4" t="str">
        <f t="shared" si="34"/>
        <v>Involuntary</v>
      </c>
      <c r="N1132" s="23" t="s">
        <v>26</v>
      </c>
    </row>
    <row r="1133" spans="1:14" x14ac:dyDescent="0.25">
      <c r="A1133" s="22">
        <v>6456</v>
      </c>
      <c r="B1133" s="3">
        <v>34745</v>
      </c>
      <c r="C1133" s="3">
        <v>44192</v>
      </c>
      <c r="D1133" s="2">
        <f t="shared" si="35"/>
        <v>25</v>
      </c>
      <c r="E1133" s="4" t="str" cm="1">
        <f t="array" ref="E1133">_xlfn.IFS(
D1133&lt;=5,"Newcomer",
D1133&lt;=10,"Proficient",
D1133&gt;10,"Expert"
)</f>
        <v>Expert</v>
      </c>
      <c r="F1133" s="2" t="s">
        <v>106</v>
      </c>
      <c r="G1133" s="5" t="s">
        <v>47</v>
      </c>
      <c r="H1133" s="5" t="s">
        <v>95</v>
      </c>
      <c r="I1133" s="2">
        <v>20</v>
      </c>
      <c r="J1133" s="2" t="s">
        <v>17</v>
      </c>
      <c r="K1133" s="2" t="s">
        <v>18</v>
      </c>
      <c r="L1133" s="2" t="s">
        <v>96</v>
      </c>
      <c r="M1133" s="4" t="str">
        <f t="shared" si="34"/>
        <v>Involuntary</v>
      </c>
      <c r="N1133" s="23" t="s">
        <v>26</v>
      </c>
    </row>
    <row r="1134" spans="1:14" x14ac:dyDescent="0.25">
      <c r="A1134" s="22">
        <v>6473</v>
      </c>
      <c r="B1134" s="3">
        <v>36201</v>
      </c>
      <c r="C1134" s="3">
        <v>44017</v>
      </c>
      <c r="D1134" s="2">
        <f t="shared" si="35"/>
        <v>21</v>
      </c>
      <c r="E1134" s="4" t="str" cm="1">
        <f t="array" ref="E1134">_xlfn.IFS(
D1134&lt;=5,"Newcomer",
D1134&lt;=10,"Proficient",
D1134&gt;10,"Expert"
)</f>
        <v>Expert</v>
      </c>
      <c r="F1134" s="2" t="s">
        <v>27</v>
      </c>
      <c r="G1134" s="5" t="s">
        <v>62</v>
      </c>
      <c r="H1134" s="5" t="s">
        <v>63</v>
      </c>
      <c r="I1134" s="2">
        <v>16</v>
      </c>
      <c r="J1134" s="2" t="s">
        <v>24</v>
      </c>
      <c r="K1134" s="2" t="s">
        <v>25</v>
      </c>
      <c r="L1134" s="2" t="s">
        <v>50</v>
      </c>
      <c r="M1134" s="4" t="str">
        <f t="shared" si="34"/>
        <v>Voluntary</v>
      </c>
      <c r="N1134" s="23" t="s">
        <v>26</v>
      </c>
    </row>
    <row r="1135" spans="1:14" x14ac:dyDescent="0.25">
      <c r="A1135" s="22">
        <v>6474</v>
      </c>
      <c r="B1135" s="3">
        <v>41864</v>
      </c>
      <c r="C1135" s="3">
        <v>43831</v>
      </c>
      <c r="D1135" s="2">
        <f t="shared" si="35"/>
        <v>6</v>
      </c>
      <c r="E1135" s="4" t="str" cm="1">
        <f t="array" ref="E1135">_xlfn.IFS(
D1135&lt;=5,"Newcomer",
D1135&lt;=10,"Proficient",
D1135&gt;10,"Expert"
)</f>
        <v>Proficient</v>
      </c>
      <c r="F1135" s="2" t="s">
        <v>104</v>
      </c>
      <c r="G1135" s="5" t="s">
        <v>71</v>
      </c>
      <c r="H1135" s="5" t="s">
        <v>116</v>
      </c>
      <c r="I1135" s="2">
        <v>39</v>
      </c>
      <c r="J1135" s="2" t="s">
        <v>24</v>
      </c>
      <c r="K1135" s="2" t="s">
        <v>25</v>
      </c>
      <c r="L1135" s="2" t="s">
        <v>96</v>
      </c>
      <c r="M1135" s="4" t="str">
        <f t="shared" si="34"/>
        <v>Involuntary</v>
      </c>
      <c r="N1135" s="23" t="s">
        <v>26</v>
      </c>
    </row>
    <row r="1136" spans="1:14" x14ac:dyDescent="0.25">
      <c r="A1136" s="22">
        <v>6478</v>
      </c>
      <c r="B1136" s="3">
        <v>38860</v>
      </c>
      <c r="C1136" s="3">
        <v>43929</v>
      </c>
      <c r="D1136" s="2">
        <f t="shared" si="35"/>
        <v>14</v>
      </c>
      <c r="E1136" s="4" t="str" cm="1">
        <f t="array" ref="E1136">_xlfn.IFS(
D1136&lt;=5,"Newcomer",
D1136&lt;=10,"Proficient",
D1136&gt;10,"Expert"
)</f>
        <v>Expert</v>
      </c>
      <c r="F1136" s="2" t="s">
        <v>49</v>
      </c>
      <c r="G1136" s="5" t="s">
        <v>47</v>
      </c>
      <c r="H1136" s="5" t="s">
        <v>95</v>
      </c>
      <c r="I1136" s="2">
        <v>12</v>
      </c>
      <c r="J1136" s="2" t="s">
        <v>17</v>
      </c>
      <c r="K1136" s="2" t="s">
        <v>18</v>
      </c>
      <c r="L1136" s="2" t="s">
        <v>50</v>
      </c>
      <c r="M1136" s="4" t="str">
        <f t="shared" si="34"/>
        <v>Voluntary</v>
      </c>
      <c r="N1136" s="23" t="s">
        <v>26</v>
      </c>
    </row>
    <row r="1137" spans="1:14" x14ac:dyDescent="0.25">
      <c r="A1137" s="22">
        <v>6480</v>
      </c>
      <c r="B1137" s="3">
        <v>36551</v>
      </c>
      <c r="C1137" s="3">
        <v>43984</v>
      </c>
      <c r="D1137" s="2">
        <f t="shared" si="35"/>
        <v>20</v>
      </c>
      <c r="E1137" s="4" t="str" cm="1">
        <f t="array" ref="E1137">_xlfn.IFS(
D1137&lt;=5,"Newcomer",
D1137&lt;=10,"Proficient",
D1137&gt;10,"Expert"
)</f>
        <v>Expert</v>
      </c>
      <c r="F1137" s="2" t="s">
        <v>74</v>
      </c>
      <c r="G1137" s="5" t="s">
        <v>71</v>
      </c>
      <c r="H1137" s="5" t="s">
        <v>116</v>
      </c>
      <c r="I1137" s="2">
        <v>9</v>
      </c>
      <c r="J1137" s="2" t="s">
        <v>24</v>
      </c>
      <c r="K1137" s="2" t="s">
        <v>25</v>
      </c>
      <c r="L1137" s="2" t="s">
        <v>96</v>
      </c>
      <c r="M1137" s="4" t="str">
        <f t="shared" si="34"/>
        <v>Involuntary</v>
      </c>
      <c r="N1137" s="23" t="s">
        <v>26</v>
      </c>
    </row>
    <row r="1138" spans="1:14" x14ac:dyDescent="0.25">
      <c r="A1138" s="22">
        <v>6482</v>
      </c>
      <c r="B1138" s="3">
        <v>39993</v>
      </c>
      <c r="C1138" s="3">
        <v>44059</v>
      </c>
      <c r="D1138" s="2">
        <f t="shared" si="35"/>
        <v>11</v>
      </c>
      <c r="E1138" s="4" t="str" cm="1">
        <f t="array" ref="E1138">_xlfn.IFS(
D1138&lt;=5,"Newcomer",
D1138&lt;=10,"Proficient",
D1138&gt;10,"Expert"
)</f>
        <v>Expert</v>
      </c>
      <c r="F1138" s="2" t="s">
        <v>80</v>
      </c>
      <c r="G1138" s="5" t="s">
        <v>62</v>
      </c>
      <c r="H1138" s="5" t="s">
        <v>63</v>
      </c>
      <c r="I1138" s="2">
        <v>7</v>
      </c>
      <c r="J1138" s="2" t="s">
        <v>24</v>
      </c>
      <c r="K1138" s="2" t="s">
        <v>25</v>
      </c>
      <c r="L1138" s="2" t="s">
        <v>96</v>
      </c>
      <c r="M1138" s="4" t="str">
        <f t="shared" si="34"/>
        <v>Involuntary</v>
      </c>
      <c r="N1138" s="23" t="s">
        <v>26</v>
      </c>
    </row>
    <row r="1139" spans="1:14" x14ac:dyDescent="0.25">
      <c r="A1139" s="22">
        <v>6485</v>
      </c>
      <c r="B1139" s="3">
        <v>39288</v>
      </c>
      <c r="C1139" s="3">
        <v>44033</v>
      </c>
      <c r="D1139" s="2">
        <f t="shared" si="35"/>
        <v>13</v>
      </c>
      <c r="E1139" s="4" t="str" cm="1">
        <f t="array" ref="E1139">_xlfn.IFS(
D1139&lt;=5,"Newcomer",
D1139&lt;=10,"Proficient",
D1139&gt;10,"Expert"
)</f>
        <v>Expert</v>
      </c>
      <c r="F1139" s="2" t="s">
        <v>78</v>
      </c>
      <c r="G1139" s="5" t="s">
        <v>62</v>
      </c>
      <c r="H1139" s="5" t="s">
        <v>63</v>
      </c>
      <c r="I1139" s="2">
        <v>21</v>
      </c>
      <c r="J1139" s="2" t="s">
        <v>17</v>
      </c>
      <c r="K1139" s="2" t="s">
        <v>18</v>
      </c>
      <c r="L1139" s="2" t="s">
        <v>50</v>
      </c>
      <c r="M1139" s="4" t="str">
        <f t="shared" si="34"/>
        <v>Voluntary</v>
      </c>
      <c r="N1139" s="23" t="s">
        <v>26</v>
      </c>
    </row>
    <row r="1140" spans="1:14" x14ac:dyDescent="0.25">
      <c r="A1140" s="22">
        <v>6488</v>
      </c>
      <c r="B1140" s="3">
        <v>37986</v>
      </c>
      <c r="C1140" s="3">
        <v>44122</v>
      </c>
      <c r="D1140" s="2">
        <f t="shared" si="35"/>
        <v>17</v>
      </c>
      <c r="E1140" s="4" t="str" cm="1">
        <f t="array" ref="E1140">_xlfn.IFS(
D1140&lt;=5,"Newcomer",
D1140&lt;=10,"Proficient",
D1140&gt;10,"Expert"
)</f>
        <v>Expert</v>
      </c>
      <c r="F1140" s="2" t="s">
        <v>104</v>
      </c>
      <c r="G1140" s="5" t="s">
        <v>71</v>
      </c>
      <c r="H1140" s="5" t="s">
        <v>116</v>
      </c>
      <c r="I1140" s="2">
        <v>39</v>
      </c>
      <c r="J1140" s="2" t="s">
        <v>24</v>
      </c>
      <c r="K1140" s="2" t="s">
        <v>25</v>
      </c>
      <c r="L1140" s="2" t="s">
        <v>96</v>
      </c>
      <c r="M1140" s="4" t="str">
        <f t="shared" si="34"/>
        <v>Involuntary</v>
      </c>
      <c r="N1140" s="23" t="s">
        <v>26</v>
      </c>
    </row>
    <row r="1141" spans="1:14" x14ac:dyDescent="0.25">
      <c r="A1141" s="22">
        <v>6512</v>
      </c>
      <c r="B1141" s="3">
        <v>34523</v>
      </c>
      <c r="C1141" s="3">
        <v>44121</v>
      </c>
      <c r="D1141" s="2">
        <f t="shared" si="35"/>
        <v>26</v>
      </c>
      <c r="E1141" s="4" t="str" cm="1">
        <f t="array" ref="E1141">_xlfn.IFS(
D1141&lt;=5,"Newcomer",
D1141&lt;=10,"Proficient",
D1141&gt;10,"Expert"
)</f>
        <v>Expert</v>
      </c>
      <c r="F1141" s="2" t="s">
        <v>21</v>
      </c>
      <c r="G1141" s="5" t="s">
        <v>47</v>
      </c>
      <c r="H1141" s="5" t="s">
        <v>95</v>
      </c>
      <c r="I1141" s="2">
        <v>19</v>
      </c>
      <c r="J1141" s="2" t="s">
        <v>17</v>
      </c>
      <c r="K1141" s="2" t="s">
        <v>18</v>
      </c>
      <c r="L1141" s="2" t="s">
        <v>50</v>
      </c>
      <c r="M1141" s="4" t="str">
        <f t="shared" si="34"/>
        <v>Voluntary</v>
      </c>
      <c r="N1141" s="23" t="s">
        <v>26</v>
      </c>
    </row>
    <row r="1142" spans="1:14" x14ac:dyDescent="0.25">
      <c r="A1142" s="22">
        <v>6525</v>
      </c>
      <c r="B1142" s="3">
        <v>40207</v>
      </c>
      <c r="C1142" s="3">
        <v>43871</v>
      </c>
      <c r="D1142" s="2">
        <f t="shared" si="35"/>
        <v>10</v>
      </c>
      <c r="E1142" s="4" t="str" cm="1">
        <f t="array" ref="E1142">_xlfn.IFS(
D1142&lt;=5,"Newcomer",
D1142&lt;=10,"Proficient",
D1142&gt;10,"Expert"
)</f>
        <v>Proficient</v>
      </c>
      <c r="F1142" s="2" t="s">
        <v>53</v>
      </c>
      <c r="G1142" s="5" t="s">
        <v>62</v>
      </c>
      <c r="H1142" s="5" t="s">
        <v>63</v>
      </c>
      <c r="I1142" s="2">
        <v>31</v>
      </c>
      <c r="J1142" s="2" t="s">
        <v>24</v>
      </c>
      <c r="K1142" s="2" t="s">
        <v>25</v>
      </c>
      <c r="L1142" s="2" t="s">
        <v>50</v>
      </c>
      <c r="M1142" s="4" t="str">
        <f t="shared" si="34"/>
        <v>Voluntary</v>
      </c>
      <c r="N1142" s="23" t="s">
        <v>26</v>
      </c>
    </row>
    <row r="1143" spans="1:14" x14ac:dyDescent="0.25">
      <c r="A1143" s="22">
        <v>6528</v>
      </c>
      <c r="B1143" s="3">
        <v>36974</v>
      </c>
      <c r="C1143" s="3">
        <v>43908</v>
      </c>
      <c r="D1143" s="2">
        <f t="shared" si="35"/>
        <v>19</v>
      </c>
      <c r="E1143" s="4" t="str" cm="1">
        <f t="array" ref="E1143">_xlfn.IFS(
D1143&lt;=5,"Newcomer",
D1143&lt;=10,"Proficient",
D1143&gt;10,"Expert"
)</f>
        <v>Expert</v>
      </c>
      <c r="F1143" s="2" t="s">
        <v>107</v>
      </c>
      <c r="G1143" s="5" t="s">
        <v>62</v>
      </c>
      <c r="H1143" s="5" t="s">
        <v>63</v>
      </c>
      <c r="I1143" s="2">
        <v>11</v>
      </c>
      <c r="J1143" s="2" t="s">
        <v>24</v>
      </c>
      <c r="K1143" s="2" t="s">
        <v>25</v>
      </c>
      <c r="L1143" s="2" t="s">
        <v>96</v>
      </c>
      <c r="M1143" s="4" t="str">
        <f t="shared" si="34"/>
        <v>Involuntary</v>
      </c>
      <c r="N1143" s="23" t="s">
        <v>26</v>
      </c>
    </row>
    <row r="1144" spans="1:14" x14ac:dyDescent="0.25">
      <c r="A1144" s="22">
        <v>6540</v>
      </c>
      <c r="B1144" s="3">
        <v>33591</v>
      </c>
      <c r="C1144" s="3">
        <v>44176</v>
      </c>
      <c r="D1144" s="2">
        <f t="shared" si="35"/>
        <v>29</v>
      </c>
      <c r="E1144" s="4" t="str" cm="1">
        <f t="array" ref="E1144">_xlfn.IFS(
D1144&lt;=5,"Newcomer",
D1144&lt;=10,"Proficient",
D1144&gt;10,"Expert"
)</f>
        <v>Expert</v>
      </c>
      <c r="F1144" s="2" t="s">
        <v>30</v>
      </c>
      <c r="G1144" s="5" t="s">
        <v>47</v>
      </c>
      <c r="H1144" s="5" t="s">
        <v>95</v>
      </c>
      <c r="I1144" s="2">
        <v>46</v>
      </c>
      <c r="J1144" s="2" t="s">
        <v>17</v>
      </c>
      <c r="K1144" s="2" t="s">
        <v>18</v>
      </c>
      <c r="L1144" s="2" t="s">
        <v>50</v>
      </c>
      <c r="M1144" s="4" t="str">
        <f t="shared" si="34"/>
        <v>Voluntary</v>
      </c>
      <c r="N1144" s="23" t="s">
        <v>26</v>
      </c>
    </row>
    <row r="1145" spans="1:14" x14ac:dyDescent="0.25">
      <c r="A1145" s="22">
        <v>6561</v>
      </c>
      <c r="B1145" s="3">
        <v>38129</v>
      </c>
      <c r="C1145" s="3">
        <v>44141</v>
      </c>
      <c r="D1145" s="2">
        <f t="shared" si="35"/>
        <v>16</v>
      </c>
      <c r="E1145" s="4" t="str" cm="1">
        <f t="array" ref="E1145">_xlfn.IFS(
D1145&lt;=5,"Newcomer",
D1145&lt;=10,"Proficient",
D1145&gt;10,"Expert"
)</f>
        <v>Expert</v>
      </c>
      <c r="F1145" s="2" t="s">
        <v>14</v>
      </c>
      <c r="G1145" s="5" t="s">
        <v>67</v>
      </c>
      <c r="H1145" s="5" t="s">
        <v>113</v>
      </c>
      <c r="I1145" s="2">
        <v>43</v>
      </c>
      <c r="J1145" s="2" t="s">
        <v>17</v>
      </c>
      <c r="K1145" s="2" t="s">
        <v>18</v>
      </c>
      <c r="L1145" s="2" t="s">
        <v>50</v>
      </c>
      <c r="M1145" s="4" t="str">
        <f t="shared" si="34"/>
        <v>Voluntary</v>
      </c>
      <c r="N1145" s="23" t="s">
        <v>26</v>
      </c>
    </row>
    <row r="1146" spans="1:14" x14ac:dyDescent="0.25">
      <c r="A1146" s="22">
        <v>6567</v>
      </c>
      <c r="B1146" s="3">
        <v>37151</v>
      </c>
      <c r="C1146" s="3">
        <v>44080</v>
      </c>
      <c r="D1146" s="2">
        <f t="shared" si="35"/>
        <v>19</v>
      </c>
      <c r="E1146" s="4" t="str" cm="1">
        <f t="array" ref="E1146">_xlfn.IFS(
D1146&lt;=5,"Newcomer",
D1146&lt;=10,"Proficient",
D1146&gt;10,"Expert"
)</f>
        <v>Expert</v>
      </c>
      <c r="F1146" s="2" t="s">
        <v>30</v>
      </c>
      <c r="G1146" s="5" t="s">
        <v>47</v>
      </c>
      <c r="H1146" s="5" t="s">
        <v>95</v>
      </c>
      <c r="I1146" s="2">
        <v>46</v>
      </c>
      <c r="J1146" s="2" t="s">
        <v>17</v>
      </c>
      <c r="K1146" s="2" t="s">
        <v>18</v>
      </c>
      <c r="L1146" s="2" t="s">
        <v>50</v>
      </c>
      <c r="M1146" s="4" t="str">
        <f t="shared" si="34"/>
        <v>Voluntary</v>
      </c>
      <c r="N1146" s="23" t="s">
        <v>26</v>
      </c>
    </row>
    <row r="1147" spans="1:14" x14ac:dyDescent="0.25">
      <c r="A1147" s="22">
        <v>6568</v>
      </c>
      <c r="B1147" s="3">
        <v>33580</v>
      </c>
      <c r="C1147" s="3">
        <v>44069</v>
      </c>
      <c r="D1147" s="2">
        <f t="shared" si="35"/>
        <v>29</v>
      </c>
      <c r="E1147" s="4" t="str" cm="1">
        <f t="array" ref="E1147">_xlfn.IFS(
D1147&lt;=5,"Newcomer",
D1147&lt;=10,"Proficient",
D1147&gt;10,"Expert"
)</f>
        <v>Expert</v>
      </c>
      <c r="F1147" s="2" t="s">
        <v>44</v>
      </c>
      <c r="G1147" s="5" t="s">
        <v>67</v>
      </c>
      <c r="H1147" s="5" t="s">
        <v>113</v>
      </c>
      <c r="I1147" s="2">
        <v>18</v>
      </c>
      <c r="J1147" s="2" t="s">
        <v>17</v>
      </c>
      <c r="K1147" s="2" t="s">
        <v>18</v>
      </c>
      <c r="L1147" s="2" t="s">
        <v>50</v>
      </c>
      <c r="M1147" s="4" t="str">
        <f t="shared" si="34"/>
        <v>Voluntary</v>
      </c>
      <c r="N1147" s="23" t="s">
        <v>26</v>
      </c>
    </row>
    <row r="1148" spans="1:14" x14ac:dyDescent="0.25">
      <c r="A1148" s="22">
        <v>6577</v>
      </c>
      <c r="B1148" s="3">
        <v>36064</v>
      </c>
      <c r="C1148" s="3">
        <v>44040</v>
      </c>
      <c r="D1148" s="2">
        <f t="shared" si="35"/>
        <v>22</v>
      </c>
      <c r="E1148" s="4" t="str" cm="1">
        <f t="array" ref="E1148">_xlfn.IFS(
D1148&lt;=5,"Newcomer",
D1148&lt;=10,"Proficient",
D1148&gt;10,"Expert"
)</f>
        <v>Expert</v>
      </c>
      <c r="F1148" s="2" t="s">
        <v>74</v>
      </c>
      <c r="G1148" s="5" t="s">
        <v>71</v>
      </c>
      <c r="H1148" s="5" t="s">
        <v>116</v>
      </c>
      <c r="I1148" s="2">
        <v>9</v>
      </c>
      <c r="J1148" s="2" t="s">
        <v>17</v>
      </c>
      <c r="K1148" s="2" t="s">
        <v>18</v>
      </c>
      <c r="L1148" s="2" t="s">
        <v>96</v>
      </c>
      <c r="M1148" s="4" t="str">
        <f t="shared" si="34"/>
        <v>Involuntary</v>
      </c>
      <c r="N1148" s="23" t="s">
        <v>26</v>
      </c>
    </row>
    <row r="1149" spans="1:14" x14ac:dyDescent="0.25">
      <c r="A1149" s="22">
        <v>6580</v>
      </c>
      <c r="B1149" s="3">
        <v>35098</v>
      </c>
      <c r="C1149" s="3">
        <v>44169</v>
      </c>
      <c r="D1149" s="2">
        <f t="shared" si="35"/>
        <v>24</v>
      </c>
      <c r="E1149" s="4" t="str" cm="1">
        <f t="array" ref="E1149">_xlfn.IFS(
D1149&lt;=5,"Newcomer",
D1149&lt;=10,"Proficient",
D1149&gt;10,"Expert"
)</f>
        <v>Expert</v>
      </c>
      <c r="F1149" s="2" t="s">
        <v>108</v>
      </c>
      <c r="G1149" s="5" t="s">
        <v>71</v>
      </c>
      <c r="H1149" s="5" t="s">
        <v>116</v>
      </c>
      <c r="I1149" s="2">
        <v>14</v>
      </c>
      <c r="J1149" s="2" t="s">
        <v>24</v>
      </c>
      <c r="K1149" s="2" t="s">
        <v>25</v>
      </c>
      <c r="L1149" s="2" t="s">
        <v>96</v>
      </c>
      <c r="M1149" s="4" t="str">
        <f t="shared" si="34"/>
        <v>Involuntary</v>
      </c>
      <c r="N1149" s="23" t="s">
        <v>26</v>
      </c>
    </row>
    <row r="1150" spans="1:14" x14ac:dyDescent="0.25">
      <c r="A1150" s="22">
        <v>6586</v>
      </c>
      <c r="B1150" s="3">
        <v>36549</v>
      </c>
      <c r="C1150" s="3">
        <v>44127</v>
      </c>
      <c r="D1150" s="2">
        <f t="shared" si="35"/>
        <v>20</v>
      </c>
      <c r="E1150" s="4" t="str" cm="1">
        <f t="array" ref="E1150">_xlfn.IFS(
D1150&lt;=5,"Newcomer",
D1150&lt;=10,"Proficient",
D1150&gt;10,"Expert"
)</f>
        <v>Expert</v>
      </c>
      <c r="F1150" s="2" t="s">
        <v>108</v>
      </c>
      <c r="G1150" s="5" t="s">
        <v>71</v>
      </c>
      <c r="H1150" s="5" t="s">
        <v>116</v>
      </c>
      <c r="I1150" s="2">
        <v>14</v>
      </c>
      <c r="J1150" s="2" t="s">
        <v>24</v>
      </c>
      <c r="K1150" s="2" t="s">
        <v>25</v>
      </c>
      <c r="L1150" s="2" t="s">
        <v>96</v>
      </c>
      <c r="M1150" s="4" t="str">
        <f t="shared" si="34"/>
        <v>Involuntary</v>
      </c>
      <c r="N1150" s="23" t="s">
        <v>26</v>
      </c>
    </row>
    <row r="1151" spans="1:14" x14ac:dyDescent="0.25">
      <c r="A1151" s="22">
        <v>6587</v>
      </c>
      <c r="B1151" s="3">
        <v>41416</v>
      </c>
      <c r="C1151" s="3">
        <v>44126</v>
      </c>
      <c r="D1151" s="2">
        <f t="shared" si="35"/>
        <v>7</v>
      </c>
      <c r="E1151" s="4" t="str" cm="1">
        <f t="array" ref="E1151">_xlfn.IFS(
D1151&lt;=5,"Newcomer",
D1151&lt;=10,"Proficient",
D1151&gt;10,"Expert"
)</f>
        <v>Proficient</v>
      </c>
      <c r="F1151" s="2" t="s">
        <v>49</v>
      </c>
      <c r="G1151" s="5" t="s">
        <v>62</v>
      </c>
      <c r="H1151" s="5" t="s">
        <v>63</v>
      </c>
      <c r="I1151" s="2">
        <v>12</v>
      </c>
      <c r="J1151" s="2" t="s">
        <v>24</v>
      </c>
      <c r="K1151" s="2" t="s">
        <v>25</v>
      </c>
      <c r="L1151" s="2" t="s">
        <v>50</v>
      </c>
      <c r="M1151" s="4" t="str">
        <f t="shared" si="34"/>
        <v>Voluntary</v>
      </c>
      <c r="N1151" s="23" t="s">
        <v>26</v>
      </c>
    </row>
    <row r="1152" spans="1:14" x14ac:dyDescent="0.25">
      <c r="A1152" s="22">
        <v>6616</v>
      </c>
      <c r="B1152" s="3">
        <v>40618</v>
      </c>
      <c r="C1152" s="3">
        <v>44064</v>
      </c>
      <c r="D1152" s="2">
        <f t="shared" si="35"/>
        <v>9</v>
      </c>
      <c r="E1152" s="4" t="str" cm="1">
        <f t="array" ref="E1152">_xlfn.IFS(
D1152&lt;=5,"Newcomer",
D1152&lt;=10,"Proficient",
D1152&gt;10,"Expert"
)</f>
        <v>Proficient</v>
      </c>
      <c r="F1152" s="2" t="s">
        <v>14</v>
      </c>
      <c r="G1152" s="5" t="s">
        <v>67</v>
      </c>
      <c r="H1152" s="5" t="s">
        <v>113</v>
      </c>
      <c r="I1152" s="2">
        <v>43</v>
      </c>
      <c r="J1152" s="2" t="s">
        <v>17</v>
      </c>
      <c r="K1152" s="2" t="s">
        <v>18</v>
      </c>
      <c r="L1152" s="2" t="s">
        <v>50</v>
      </c>
      <c r="M1152" s="4" t="str">
        <f t="shared" si="34"/>
        <v>Voluntary</v>
      </c>
      <c r="N1152" s="23" t="s">
        <v>26</v>
      </c>
    </row>
    <row r="1153" spans="1:14" x14ac:dyDescent="0.25">
      <c r="A1153" s="22">
        <v>6621</v>
      </c>
      <c r="B1153" s="3">
        <v>35338</v>
      </c>
      <c r="C1153" s="3">
        <v>43968</v>
      </c>
      <c r="D1153" s="2">
        <f t="shared" si="35"/>
        <v>24</v>
      </c>
      <c r="E1153" s="4" t="str" cm="1">
        <f t="array" ref="E1153">_xlfn.IFS(
D1153&lt;=5,"Newcomer",
D1153&lt;=10,"Proficient",
D1153&gt;10,"Expert"
)</f>
        <v>Expert</v>
      </c>
      <c r="F1153" s="2" t="s">
        <v>106</v>
      </c>
      <c r="G1153" s="5" t="s">
        <v>47</v>
      </c>
      <c r="H1153" s="5" t="s">
        <v>95</v>
      </c>
      <c r="I1153" s="2">
        <v>20</v>
      </c>
      <c r="J1153" s="2" t="s">
        <v>17</v>
      </c>
      <c r="K1153" s="2" t="s">
        <v>18</v>
      </c>
      <c r="L1153" s="2" t="s">
        <v>50</v>
      </c>
      <c r="M1153" s="4" t="str">
        <f t="shared" si="34"/>
        <v>Voluntary</v>
      </c>
      <c r="N1153" s="23" t="s">
        <v>26</v>
      </c>
    </row>
    <row r="1154" spans="1:14" x14ac:dyDescent="0.25">
      <c r="A1154" s="22">
        <v>6624</v>
      </c>
      <c r="B1154" s="3">
        <v>37882</v>
      </c>
      <c r="C1154" s="3">
        <v>43893</v>
      </c>
      <c r="D1154" s="2">
        <f t="shared" si="35"/>
        <v>17</v>
      </c>
      <c r="E1154" s="4" t="str" cm="1">
        <f t="array" ref="E1154">_xlfn.IFS(
D1154&lt;=5,"Newcomer",
D1154&lt;=10,"Proficient",
D1154&gt;10,"Expert"
)</f>
        <v>Expert</v>
      </c>
      <c r="F1154" s="2" t="s">
        <v>78</v>
      </c>
      <c r="G1154" s="5" t="s">
        <v>62</v>
      </c>
      <c r="H1154" s="5" t="s">
        <v>63</v>
      </c>
      <c r="I1154" s="2">
        <v>21</v>
      </c>
      <c r="J1154" s="2" t="s">
        <v>24</v>
      </c>
      <c r="K1154" s="2" t="s">
        <v>25</v>
      </c>
      <c r="L1154" s="2" t="s">
        <v>50</v>
      </c>
      <c r="M1154" s="4" t="str">
        <f t="shared" ref="M1154:M1217" si="36">IF(OR(L1154="Retirement",L1154="Resignation"),"Voluntary","Involuntary")</f>
        <v>Voluntary</v>
      </c>
      <c r="N1154" s="23" t="s">
        <v>26</v>
      </c>
    </row>
    <row r="1155" spans="1:14" x14ac:dyDescent="0.25">
      <c r="A1155" s="22">
        <v>6626</v>
      </c>
      <c r="B1155" s="3">
        <v>33007</v>
      </c>
      <c r="C1155" s="3">
        <v>44123</v>
      </c>
      <c r="D1155" s="2">
        <f t="shared" ref="D1155:D1218" si="37">YEAR(C1155)-YEAR(B1155)</f>
        <v>30</v>
      </c>
      <c r="E1155" s="4" t="str" cm="1">
        <f t="array" ref="E1155">_xlfn.IFS(
D1155&lt;=5,"Newcomer",
D1155&lt;=10,"Proficient",
D1155&gt;10,"Expert"
)</f>
        <v>Expert</v>
      </c>
      <c r="F1155" s="2" t="s">
        <v>14</v>
      </c>
      <c r="G1155" s="5" t="s">
        <v>67</v>
      </c>
      <c r="H1155" s="5" t="s">
        <v>113</v>
      </c>
      <c r="I1155" s="2">
        <v>43</v>
      </c>
      <c r="J1155" s="2" t="s">
        <v>24</v>
      </c>
      <c r="K1155" s="2" t="s">
        <v>25</v>
      </c>
      <c r="L1155" s="2" t="s">
        <v>50</v>
      </c>
      <c r="M1155" s="4" t="str">
        <f t="shared" si="36"/>
        <v>Voluntary</v>
      </c>
      <c r="N1155" s="23" t="s">
        <v>26</v>
      </c>
    </row>
    <row r="1156" spans="1:14" x14ac:dyDescent="0.25">
      <c r="A1156" s="22">
        <v>6631</v>
      </c>
      <c r="B1156" s="3">
        <v>36311</v>
      </c>
      <c r="C1156" s="3">
        <v>43883</v>
      </c>
      <c r="D1156" s="2">
        <f t="shared" si="37"/>
        <v>21</v>
      </c>
      <c r="E1156" s="4" t="str" cm="1">
        <f t="array" ref="E1156">_xlfn.IFS(
D1156&lt;=5,"Newcomer",
D1156&lt;=10,"Proficient",
D1156&gt;10,"Expert"
)</f>
        <v>Expert</v>
      </c>
      <c r="F1156" s="2" t="s">
        <v>27</v>
      </c>
      <c r="G1156" s="5" t="s">
        <v>62</v>
      </c>
      <c r="H1156" s="5" t="s">
        <v>63</v>
      </c>
      <c r="I1156" s="2">
        <v>16</v>
      </c>
      <c r="J1156" s="2" t="s">
        <v>24</v>
      </c>
      <c r="K1156" s="2" t="s">
        <v>25</v>
      </c>
      <c r="L1156" s="2" t="s">
        <v>50</v>
      </c>
      <c r="M1156" s="4" t="str">
        <f t="shared" si="36"/>
        <v>Voluntary</v>
      </c>
      <c r="N1156" s="23" t="s">
        <v>26</v>
      </c>
    </row>
    <row r="1157" spans="1:14" x14ac:dyDescent="0.25">
      <c r="A1157" s="22">
        <v>6632</v>
      </c>
      <c r="B1157" s="3">
        <v>36923</v>
      </c>
      <c r="C1157" s="3">
        <v>44013</v>
      </c>
      <c r="D1157" s="2">
        <f t="shared" si="37"/>
        <v>19</v>
      </c>
      <c r="E1157" s="4" t="str" cm="1">
        <f t="array" ref="E1157">_xlfn.IFS(
D1157&lt;=5,"Newcomer",
D1157&lt;=10,"Proficient",
D1157&gt;10,"Expert"
)</f>
        <v>Expert</v>
      </c>
      <c r="F1157" s="2" t="s">
        <v>81</v>
      </c>
      <c r="G1157" s="5" t="s">
        <v>62</v>
      </c>
      <c r="H1157" s="5" t="s">
        <v>63</v>
      </c>
      <c r="I1157" s="2">
        <v>5</v>
      </c>
      <c r="J1157" s="2" t="s">
        <v>24</v>
      </c>
      <c r="K1157" s="2" t="s">
        <v>25</v>
      </c>
      <c r="L1157" s="2" t="s">
        <v>50</v>
      </c>
      <c r="M1157" s="4" t="str">
        <f t="shared" si="36"/>
        <v>Voluntary</v>
      </c>
      <c r="N1157" s="23" t="s">
        <v>26</v>
      </c>
    </row>
    <row r="1158" spans="1:14" x14ac:dyDescent="0.25">
      <c r="A1158" s="22">
        <v>6633</v>
      </c>
      <c r="B1158" s="3">
        <v>40076</v>
      </c>
      <c r="C1158" s="3">
        <v>44131</v>
      </c>
      <c r="D1158" s="2">
        <f t="shared" si="37"/>
        <v>11</v>
      </c>
      <c r="E1158" s="4" t="str" cm="1">
        <f t="array" ref="E1158">_xlfn.IFS(
D1158&lt;=5,"Newcomer",
D1158&lt;=10,"Proficient",
D1158&gt;10,"Expert"
)</f>
        <v>Expert</v>
      </c>
      <c r="F1158" s="2" t="s">
        <v>14</v>
      </c>
      <c r="G1158" s="5" t="s">
        <v>67</v>
      </c>
      <c r="H1158" s="5" t="s">
        <v>113</v>
      </c>
      <c r="I1158" s="2">
        <v>43</v>
      </c>
      <c r="J1158" s="2" t="s">
        <v>24</v>
      </c>
      <c r="K1158" s="2" t="s">
        <v>25</v>
      </c>
      <c r="L1158" s="2" t="s">
        <v>50</v>
      </c>
      <c r="M1158" s="4" t="str">
        <f t="shared" si="36"/>
        <v>Voluntary</v>
      </c>
      <c r="N1158" s="23" t="s">
        <v>26</v>
      </c>
    </row>
    <row r="1159" spans="1:14" x14ac:dyDescent="0.25">
      <c r="A1159" s="22">
        <v>6635</v>
      </c>
      <c r="B1159" s="3">
        <v>41249</v>
      </c>
      <c r="C1159" s="3">
        <v>44026</v>
      </c>
      <c r="D1159" s="2">
        <f t="shared" si="37"/>
        <v>8</v>
      </c>
      <c r="E1159" s="4" t="str" cm="1">
        <f t="array" ref="E1159">_xlfn.IFS(
D1159&lt;=5,"Newcomer",
D1159&lt;=10,"Proficient",
D1159&gt;10,"Expert"
)</f>
        <v>Proficient</v>
      </c>
      <c r="F1159" s="2" t="s">
        <v>102</v>
      </c>
      <c r="G1159" s="5" t="s">
        <v>47</v>
      </c>
      <c r="H1159" s="5" t="s">
        <v>95</v>
      </c>
      <c r="I1159" s="2">
        <v>1</v>
      </c>
      <c r="J1159" s="2" t="s">
        <v>24</v>
      </c>
      <c r="K1159" s="2" t="s">
        <v>25</v>
      </c>
      <c r="L1159" s="2" t="s">
        <v>50</v>
      </c>
      <c r="M1159" s="4" t="str">
        <f t="shared" si="36"/>
        <v>Voluntary</v>
      </c>
      <c r="N1159" s="23" t="s">
        <v>26</v>
      </c>
    </row>
    <row r="1160" spans="1:14" x14ac:dyDescent="0.25">
      <c r="A1160" s="22">
        <v>6638</v>
      </c>
      <c r="B1160" s="3">
        <v>39415</v>
      </c>
      <c r="C1160" s="3">
        <v>43925</v>
      </c>
      <c r="D1160" s="2">
        <f t="shared" si="37"/>
        <v>13</v>
      </c>
      <c r="E1160" s="4" t="str" cm="1">
        <f t="array" ref="E1160">_xlfn.IFS(
D1160&lt;=5,"Newcomer",
D1160&lt;=10,"Proficient",
D1160&gt;10,"Expert"
)</f>
        <v>Expert</v>
      </c>
      <c r="F1160" s="2" t="s">
        <v>90</v>
      </c>
      <c r="G1160" s="5" t="s">
        <v>71</v>
      </c>
      <c r="H1160" s="5" t="s">
        <v>116</v>
      </c>
      <c r="I1160" s="2">
        <v>26</v>
      </c>
      <c r="J1160" s="2" t="s">
        <v>24</v>
      </c>
      <c r="K1160" s="2" t="s">
        <v>25</v>
      </c>
      <c r="L1160" s="2" t="s">
        <v>50</v>
      </c>
      <c r="M1160" s="4" t="str">
        <f t="shared" si="36"/>
        <v>Voluntary</v>
      </c>
      <c r="N1160" s="23" t="s">
        <v>26</v>
      </c>
    </row>
    <row r="1161" spans="1:14" x14ac:dyDescent="0.25">
      <c r="A1161" s="22">
        <v>6639</v>
      </c>
      <c r="B1161" s="3">
        <v>35135</v>
      </c>
      <c r="C1161" s="3">
        <v>43832</v>
      </c>
      <c r="D1161" s="2">
        <f t="shared" si="37"/>
        <v>24</v>
      </c>
      <c r="E1161" s="4" t="str" cm="1">
        <f t="array" ref="E1161">_xlfn.IFS(
D1161&lt;=5,"Newcomer",
D1161&lt;=10,"Proficient",
D1161&gt;10,"Expert"
)</f>
        <v>Expert</v>
      </c>
      <c r="F1161" s="2" t="s">
        <v>30</v>
      </c>
      <c r="G1161" s="5" t="s">
        <v>62</v>
      </c>
      <c r="H1161" s="5" t="s">
        <v>63</v>
      </c>
      <c r="I1161" s="2">
        <v>46</v>
      </c>
      <c r="J1161" s="2" t="s">
        <v>17</v>
      </c>
      <c r="K1161" s="2" t="s">
        <v>18</v>
      </c>
      <c r="L1161" s="2" t="s">
        <v>50</v>
      </c>
      <c r="M1161" s="4" t="str">
        <f t="shared" si="36"/>
        <v>Voluntary</v>
      </c>
      <c r="N1161" s="23" t="s">
        <v>26</v>
      </c>
    </row>
    <row r="1162" spans="1:14" x14ac:dyDescent="0.25">
      <c r="A1162" s="22">
        <v>6640</v>
      </c>
      <c r="B1162" s="3">
        <v>33289</v>
      </c>
      <c r="C1162" s="3">
        <v>43833</v>
      </c>
      <c r="D1162" s="2">
        <f t="shared" si="37"/>
        <v>29</v>
      </c>
      <c r="E1162" s="4" t="str" cm="1">
        <f t="array" ref="E1162">_xlfn.IFS(
D1162&lt;=5,"Newcomer",
D1162&lt;=10,"Proficient",
D1162&gt;10,"Expert"
)</f>
        <v>Expert</v>
      </c>
      <c r="F1162" s="2" t="s">
        <v>107</v>
      </c>
      <c r="G1162" s="5" t="s">
        <v>67</v>
      </c>
      <c r="H1162" s="5" t="s">
        <v>113</v>
      </c>
      <c r="I1162" s="2">
        <v>11</v>
      </c>
      <c r="J1162" s="2" t="s">
        <v>24</v>
      </c>
      <c r="K1162" s="2" t="s">
        <v>25</v>
      </c>
      <c r="L1162" s="2" t="s">
        <v>96</v>
      </c>
      <c r="M1162" s="4" t="str">
        <f t="shared" si="36"/>
        <v>Involuntary</v>
      </c>
      <c r="N1162" s="23" t="s">
        <v>26</v>
      </c>
    </row>
    <row r="1163" spans="1:14" x14ac:dyDescent="0.25">
      <c r="A1163" s="22">
        <v>6641</v>
      </c>
      <c r="B1163" s="3">
        <v>39015</v>
      </c>
      <c r="C1163" s="3">
        <v>44161</v>
      </c>
      <c r="D1163" s="2">
        <f t="shared" si="37"/>
        <v>14</v>
      </c>
      <c r="E1163" s="4" t="str" cm="1">
        <f t="array" ref="E1163">_xlfn.IFS(
D1163&lt;=5,"Newcomer",
D1163&lt;=10,"Proficient",
D1163&gt;10,"Expert"
)</f>
        <v>Expert</v>
      </c>
      <c r="F1163" s="2" t="s">
        <v>90</v>
      </c>
      <c r="G1163" s="5" t="s">
        <v>71</v>
      </c>
      <c r="H1163" s="5" t="s">
        <v>116</v>
      </c>
      <c r="I1163" s="2">
        <v>26</v>
      </c>
      <c r="J1163" s="2" t="s">
        <v>24</v>
      </c>
      <c r="K1163" s="2" t="s">
        <v>25</v>
      </c>
      <c r="L1163" s="2" t="s">
        <v>50</v>
      </c>
      <c r="M1163" s="4" t="str">
        <f t="shared" si="36"/>
        <v>Voluntary</v>
      </c>
      <c r="N1163" s="23" t="s">
        <v>26</v>
      </c>
    </row>
    <row r="1164" spans="1:14" x14ac:dyDescent="0.25">
      <c r="A1164" s="22">
        <v>6642</v>
      </c>
      <c r="B1164" s="3">
        <v>34200</v>
      </c>
      <c r="C1164" s="3">
        <v>44063</v>
      </c>
      <c r="D1164" s="2">
        <f t="shared" si="37"/>
        <v>27</v>
      </c>
      <c r="E1164" s="4" t="str" cm="1">
        <f t="array" ref="E1164">_xlfn.IFS(
D1164&lt;=5,"Newcomer",
D1164&lt;=10,"Proficient",
D1164&gt;10,"Expert"
)</f>
        <v>Expert</v>
      </c>
      <c r="F1164" s="2" t="s">
        <v>30</v>
      </c>
      <c r="G1164" s="5" t="s">
        <v>62</v>
      </c>
      <c r="H1164" s="5" t="s">
        <v>63</v>
      </c>
      <c r="I1164" s="2">
        <v>46</v>
      </c>
      <c r="J1164" s="2" t="s">
        <v>24</v>
      </c>
      <c r="K1164" s="2" t="s">
        <v>25</v>
      </c>
      <c r="L1164" s="2" t="s">
        <v>50</v>
      </c>
      <c r="M1164" s="4" t="str">
        <f t="shared" si="36"/>
        <v>Voluntary</v>
      </c>
      <c r="N1164" s="23" t="s">
        <v>26</v>
      </c>
    </row>
    <row r="1165" spans="1:14" x14ac:dyDescent="0.25">
      <c r="A1165" s="22">
        <v>6654</v>
      </c>
      <c r="B1165" s="3">
        <v>41082</v>
      </c>
      <c r="C1165" s="3">
        <v>44006</v>
      </c>
      <c r="D1165" s="2">
        <f t="shared" si="37"/>
        <v>8</v>
      </c>
      <c r="E1165" s="4" t="str" cm="1">
        <f t="array" ref="E1165">_xlfn.IFS(
D1165&lt;=5,"Newcomer",
D1165&lt;=10,"Proficient",
D1165&gt;10,"Expert"
)</f>
        <v>Proficient</v>
      </c>
      <c r="F1165" s="2" t="s">
        <v>107</v>
      </c>
      <c r="G1165" s="5" t="s">
        <v>67</v>
      </c>
      <c r="H1165" s="5" t="s">
        <v>113</v>
      </c>
      <c r="I1165" s="2">
        <v>11</v>
      </c>
      <c r="J1165" s="2" t="s">
        <v>24</v>
      </c>
      <c r="K1165" s="2" t="s">
        <v>25</v>
      </c>
      <c r="L1165" s="2" t="s">
        <v>96</v>
      </c>
      <c r="M1165" s="4" t="str">
        <f t="shared" si="36"/>
        <v>Involuntary</v>
      </c>
      <c r="N1165" s="23" t="s">
        <v>26</v>
      </c>
    </row>
    <row r="1166" spans="1:14" x14ac:dyDescent="0.25">
      <c r="A1166" s="22">
        <v>6666</v>
      </c>
      <c r="B1166" s="3">
        <v>37331</v>
      </c>
      <c r="C1166" s="3">
        <v>44073</v>
      </c>
      <c r="D1166" s="2">
        <f t="shared" si="37"/>
        <v>18</v>
      </c>
      <c r="E1166" s="4" t="str" cm="1">
        <f t="array" ref="E1166">_xlfn.IFS(
D1166&lt;=5,"Newcomer",
D1166&lt;=10,"Proficient",
D1166&gt;10,"Expert"
)</f>
        <v>Expert</v>
      </c>
      <c r="F1166" s="2" t="s">
        <v>91</v>
      </c>
      <c r="G1166" s="5" t="s">
        <v>62</v>
      </c>
      <c r="H1166" s="5" t="s">
        <v>63</v>
      </c>
      <c r="I1166" s="2">
        <v>29</v>
      </c>
      <c r="J1166" s="2" t="s">
        <v>17</v>
      </c>
      <c r="K1166" s="2" t="s">
        <v>18</v>
      </c>
      <c r="L1166" s="2" t="s">
        <v>50</v>
      </c>
      <c r="M1166" s="4" t="str">
        <f t="shared" si="36"/>
        <v>Voluntary</v>
      </c>
      <c r="N1166" s="23" t="s">
        <v>26</v>
      </c>
    </row>
    <row r="1167" spans="1:14" x14ac:dyDescent="0.25">
      <c r="A1167" s="22">
        <v>6676</v>
      </c>
      <c r="B1167" s="3">
        <v>33664</v>
      </c>
      <c r="C1167" s="3">
        <v>43906</v>
      </c>
      <c r="D1167" s="2">
        <f t="shared" si="37"/>
        <v>28</v>
      </c>
      <c r="E1167" s="4" t="str" cm="1">
        <f t="array" ref="E1167">_xlfn.IFS(
D1167&lt;=5,"Newcomer",
D1167&lt;=10,"Proficient",
D1167&gt;10,"Expert"
)</f>
        <v>Expert</v>
      </c>
      <c r="F1167" s="2" t="s">
        <v>108</v>
      </c>
      <c r="G1167" s="5" t="s">
        <v>71</v>
      </c>
      <c r="H1167" s="5" t="s">
        <v>116</v>
      </c>
      <c r="I1167" s="2">
        <v>14</v>
      </c>
      <c r="J1167" s="2" t="s">
        <v>24</v>
      </c>
      <c r="K1167" s="2" t="s">
        <v>25</v>
      </c>
      <c r="L1167" s="2" t="s">
        <v>96</v>
      </c>
      <c r="M1167" s="4" t="str">
        <f t="shared" si="36"/>
        <v>Involuntary</v>
      </c>
      <c r="N1167" s="23" t="s">
        <v>26</v>
      </c>
    </row>
    <row r="1168" spans="1:14" x14ac:dyDescent="0.25">
      <c r="A1168" s="22">
        <v>6680</v>
      </c>
      <c r="B1168" s="3">
        <v>40562</v>
      </c>
      <c r="C1168" s="3">
        <v>44074</v>
      </c>
      <c r="D1168" s="2">
        <f t="shared" si="37"/>
        <v>9</v>
      </c>
      <c r="E1168" s="4" t="str" cm="1">
        <f t="array" ref="E1168">_xlfn.IFS(
D1168&lt;=5,"Newcomer",
D1168&lt;=10,"Proficient",
D1168&gt;10,"Expert"
)</f>
        <v>Proficient</v>
      </c>
      <c r="F1168" s="2" t="s">
        <v>78</v>
      </c>
      <c r="G1168" s="5" t="s">
        <v>62</v>
      </c>
      <c r="H1168" s="5" t="s">
        <v>63</v>
      </c>
      <c r="I1168" s="2">
        <v>21</v>
      </c>
      <c r="J1168" s="2" t="s">
        <v>17</v>
      </c>
      <c r="K1168" s="2" t="s">
        <v>18</v>
      </c>
      <c r="L1168" s="2" t="s">
        <v>50</v>
      </c>
      <c r="M1168" s="4" t="str">
        <f t="shared" si="36"/>
        <v>Voluntary</v>
      </c>
      <c r="N1168" s="23" t="s">
        <v>26</v>
      </c>
    </row>
    <row r="1169" spans="1:14" x14ac:dyDescent="0.25">
      <c r="A1169" s="22">
        <v>6684</v>
      </c>
      <c r="B1169" s="3">
        <v>34405</v>
      </c>
      <c r="C1169" s="3">
        <v>43893</v>
      </c>
      <c r="D1169" s="2">
        <f t="shared" si="37"/>
        <v>26</v>
      </c>
      <c r="E1169" s="4" t="str" cm="1">
        <f t="array" ref="E1169">_xlfn.IFS(
D1169&lt;=5,"Newcomer",
D1169&lt;=10,"Proficient",
D1169&gt;10,"Expert"
)</f>
        <v>Expert</v>
      </c>
      <c r="F1169" s="2" t="s">
        <v>14</v>
      </c>
      <c r="G1169" s="5" t="s">
        <v>71</v>
      </c>
      <c r="H1169" s="5" t="s">
        <v>116</v>
      </c>
      <c r="I1169" s="2">
        <v>43</v>
      </c>
      <c r="J1169" s="2" t="s">
        <v>24</v>
      </c>
      <c r="K1169" s="2" t="s">
        <v>25</v>
      </c>
      <c r="L1169" s="2" t="s">
        <v>50</v>
      </c>
      <c r="M1169" s="4" t="str">
        <f t="shared" si="36"/>
        <v>Voluntary</v>
      </c>
      <c r="N1169" s="23" t="s">
        <v>26</v>
      </c>
    </row>
    <row r="1170" spans="1:14" x14ac:dyDescent="0.25">
      <c r="A1170" s="22">
        <v>6685</v>
      </c>
      <c r="B1170" s="3">
        <v>35560</v>
      </c>
      <c r="C1170" s="3">
        <v>44167</v>
      </c>
      <c r="D1170" s="2">
        <f t="shared" si="37"/>
        <v>23</v>
      </c>
      <c r="E1170" s="4" t="str" cm="1">
        <f t="array" ref="E1170">_xlfn.IFS(
D1170&lt;=5,"Newcomer",
D1170&lt;=10,"Proficient",
D1170&gt;10,"Expert"
)</f>
        <v>Expert</v>
      </c>
      <c r="F1170" s="2" t="s">
        <v>78</v>
      </c>
      <c r="G1170" s="5" t="s">
        <v>62</v>
      </c>
      <c r="H1170" s="5" t="s">
        <v>63</v>
      </c>
      <c r="I1170" s="2">
        <v>21</v>
      </c>
      <c r="J1170" s="2" t="s">
        <v>24</v>
      </c>
      <c r="K1170" s="2" t="s">
        <v>25</v>
      </c>
      <c r="L1170" s="2" t="s">
        <v>50</v>
      </c>
      <c r="M1170" s="4" t="str">
        <f t="shared" si="36"/>
        <v>Voluntary</v>
      </c>
      <c r="N1170" s="23" t="s">
        <v>26</v>
      </c>
    </row>
    <row r="1171" spans="1:14" x14ac:dyDescent="0.25">
      <c r="A1171" s="22">
        <v>6686</v>
      </c>
      <c r="B1171" s="3">
        <v>36758</v>
      </c>
      <c r="C1171" s="3">
        <v>44130</v>
      </c>
      <c r="D1171" s="2">
        <f t="shared" si="37"/>
        <v>20</v>
      </c>
      <c r="E1171" s="4" t="str" cm="1">
        <f t="array" ref="E1171">_xlfn.IFS(
D1171&lt;=5,"Newcomer",
D1171&lt;=10,"Proficient",
D1171&gt;10,"Expert"
)</f>
        <v>Expert</v>
      </c>
      <c r="F1171" s="2" t="s">
        <v>69</v>
      </c>
      <c r="G1171" s="5" t="s">
        <v>71</v>
      </c>
      <c r="H1171" s="5" t="s">
        <v>116</v>
      </c>
      <c r="I1171" s="2">
        <v>28</v>
      </c>
      <c r="J1171" s="2" t="s">
        <v>24</v>
      </c>
      <c r="K1171" s="2" t="s">
        <v>25</v>
      </c>
      <c r="L1171" s="2" t="s">
        <v>50</v>
      </c>
      <c r="M1171" s="4" t="str">
        <f t="shared" si="36"/>
        <v>Voluntary</v>
      </c>
      <c r="N1171" s="23" t="s">
        <v>26</v>
      </c>
    </row>
    <row r="1172" spans="1:14" x14ac:dyDescent="0.25">
      <c r="A1172" s="22">
        <v>6688</v>
      </c>
      <c r="B1172" s="3">
        <v>35119</v>
      </c>
      <c r="C1172" s="3">
        <v>44075</v>
      </c>
      <c r="D1172" s="2">
        <f t="shared" si="37"/>
        <v>24</v>
      </c>
      <c r="E1172" s="4" t="str" cm="1">
        <f t="array" ref="E1172">_xlfn.IFS(
D1172&lt;=5,"Newcomer",
D1172&lt;=10,"Proficient",
D1172&gt;10,"Expert"
)</f>
        <v>Expert</v>
      </c>
      <c r="F1172" s="2" t="s">
        <v>69</v>
      </c>
      <c r="G1172" s="5" t="s">
        <v>71</v>
      </c>
      <c r="H1172" s="5" t="s">
        <v>116</v>
      </c>
      <c r="I1172" s="2">
        <v>28</v>
      </c>
      <c r="J1172" s="2" t="s">
        <v>24</v>
      </c>
      <c r="K1172" s="2" t="s">
        <v>25</v>
      </c>
      <c r="L1172" s="2" t="s">
        <v>50</v>
      </c>
      <c r="M1172" s="4" t="str">
        <f t="shared" si="36"/>
        <v>Voluntary</v>
      </c>
      <c r="N1172" s="23" t="s">
        <v>26</v>
      </c>
    </row>
    <row r="1173" spans="1:14" x14ac:dyDescent="0.25">
      <c r="A1173" s="22">
        <v>6692</v>
      </c>
      <c r="B1173" s="3">
        <v>38601</v>
      </c>
      <c r="C1173" s="3">
        <v>44091</v>
      </c>
      <c r="D1173" s="2">
        <f t="shared" si="37"/>
        <v>15</v>
      </c>
      <c r="E1173" s="4" t="str" cm="1">
        <f t="array" ref="E1173">_xlfn.IFS(
D1173&lt;=5,"Newcomer",
D1173&lt;=10,"Proficient",
D1173&gt;10,"Expert"
)</f>
        <v>Expert</v>
      </c>
      <c r="F1173" s="2" t="s">
        <v>14</v>
      </c>
      <c r="G1173" s="5" t="s">
        <v>71</v>
      </c>
      <c r="H1173" s="5" t="s">
        <v>116</v>
      </c>
      <c r="I1173" s="2">
        <v>43</v>
      </c>
      <c r="J1173" s="2" t="s">
        <v>24</v>
      </c>
      <c r="K1173" s="2" t="s">
        <v>25</v>
      </c>
      <c r="L1173" s="2" t="s">
        <v>50</v>
      </c>
      <c r="M1173" s="4" t="str">
        <f t="shared" si="36"/>
        <v>Voluntary</v>
      </c>
      <c r="N1173" s="23" t="s">
        <v>26</v>
      </c>
    </row>
    <row r="1174" spans="1:14" x14ac:dyDescent="0.25">
      <c r="A1174" s="22">
        <v>6693</v>
      </c>
      <c r="B1174" s="3">
        <v>33306</v>
      </c>
      <c r="C1174" s="3">
        <v>43960</v>
      </c>
      <c r="D1174" s="2">
        <f t="shared" si="37"/>
        <v>29</v>
      </c>
      <c r="E1174" s="4" t="str" cm="1">
        <f t="array" ref="E1174">_xlfn.IFS(
D1174&lt;=5,"Newcomer",
D1174&lt;=10,"Proficient",
D1174&gt;10,"Expert"
)</f>
        <v>Expert</v>
      </c>
      <c r="F1174" s="2" t="s">
        <v>44</v>
      </c>
      <c r="G1174" s="5" t="s">
        <v>67</v>
      </c>
      <c r="H1174" s="5" t="s">
        <v>113</v>
      </c>
      <c r="I1174" s="2">
        <v>18</v>
      </c>
      <c r="J1174" s="2" t="s">
        <v>24</v>
      </c>
      <c r="K1174" s="2" t="s">
        <v>25</v>
      </c>
      <c r="L1174" s="2" t="s">
        <v>50</v>
      </c>
      <c r="M1174" s="4" t="str">
        <f t="shared" si="36"/>
        <v>Voluntary</v>
      </c>
      <c r="N1174" s="23" t="s">
        <v>26</v>
      </c>
    </row>
    <row r="1175" spans="1:14" x14ac:dyDescent="0.25">
      <c r="A1175" s="22">
        <v>6694</v>
      </c>
      <c r="B1175" s="3">
        <v>36157</v>
      </c>
      <c r="C1175" s="3">
        <v>44111</v>
      </c>
      <c r="D1175" s="2">
        <f t="shared" si="37"/>
        <v>22</v>
      </c>
      <c r="E1175" s="4" t="str" cm="1">
        <f t="array" ref="E1175">_xlfn.IFS(
D1175&lt;=5,"Newcomer",
D1175&lt;=10,"Proficient",
D1175&gt;10,"Expert"
)</f>
        <v>Expert</v>
      </c>
      <c r="F1175" s="2" t="s">
        <v>27</v>
      </c>
      <c r="G1175" s="5" t="s">
        <v>62</v>
      </c>
      <c r="H1175" s="5" t="s">
        <v>63</v>
      </c>
      <c r="I1175" s="2">
        <v>16</v>
      </c>
      <c r="J1175" s="2" t="s">
        <v>24</v>
      </c>
      <c r="K1175" s="2" t="s">
        <v>25</v>
      </c>
      <c r="L1175" s="2" t="s">
        <v>50</v>
      </c>
      <c r="M1175" s="4" t="str">
        <f t="shared" si="36"/>
        <v>Voluntary</v>
      </c>
      <c r="N1175" s="23" t="s">
        <v>26</v>
      </c>
    </row>
    <row r="1176" spans="1:14" x14ac:dyDescent="0.25">
      <c r="A1176" s="22">
        <v>6696</v>
      </c>
      <c r="B1176" s="3">
        <v>40064</v>
      </c>
      <c r="C1176" s="3">
        <v>43841</v>
      </c>
      <c r="D1176" s="2">
        <f t="shared" si="37"/>
        <v>11</v>
      </c>
      <c r="E1176" s="4" t="str" cm="1">
        <f t="array" ref="E1176">_xlfn.IFS(
D1176&lt;=5,"Newcomer",
D1176&lt;=10,"Proficient",
D1176&gt;10,"Expert"
)</f>
        <v>Expert</v>
      </c>
      <c r="F1176" s="2" t="s">
        <v>30</v>
      </c>
      <c r="G1176" s="5" t="s">
        <v>62</v>
      </c>
      <c r="H1176" s="5" t="s">
        <v>63</v>
      </c>
      <c r="I1176" s="2">
        <v>46</v>
      </c>
      <c r="J1176" s="2" t="s">
        <v>24</v>
      </c>
      <c r="K1176" s="2" t="s">
        <v>25</v>
      </c>
      <c r="L1176" s="2" t="s">
        <v>50</v>
      </c>
      <c r="M1176" s="4" t="str">
        <f t="shared" si="36"/>
        <v>Voluntary</v>
      </c>
      <c r="N1176" s="23" t="s">
        <v>26</v>
      </c>
    </row>
    <row r="1177" spans="1:14" x14ac:dyDescent="0.25">
      <c r="A1177" s="22">
        <v>6700</v>
      </c>
      <c r="B1177" s="3">
        <v>34957</v>
      </c>
      <c r="C1177" s="3">
        <v>44041</v>
      </c>
      <c r="D1177" s="2">
        <f t="shared" si="37"/>
        <v>25</v>
      </c>
      <c r="E1177" s="4" t="str" cm="1">
        <f t="array" ref="E1177">_xlfn.IFS(
D1177&lt;=5,"Newcomer",
D1177&lt;=10,"Proficient",
D1177&gt;10,"Expert"
)</f>
        <v>Expert</v>
      </c>
      <c r="F1177" s="2" t="s">
        <v>44</v>
      </c>
      <c r="G1177" s="5" t="s">
        <v>67</v>
      </c>
      <c r="H1177" s="5" t="s">
        <v>113</v>
      </c>
      <c r="I1177" s="2">
        <v>18</v>
      </c>
      <c r="J1177" s="2" t="s">
        <v>24</v>
      </c>
      <c r="K1177" s="2" t="s">
        <v>25</v>
      </c>
      <c r="L1177" s="2" t="s">
        <v>50</v>
      </c>
      <c r="M1177" s="4" t="str">
        <f t="shared" si="36"/>
        <v>Voluntary</v>
      </c>
      <c r="N1177" s="23" t="s">
        <v>26</v>
      </c>
    </row>
    <row r="1178" spans="1:14" x14ac:dyDescent="0.25">
      <c r="A1178" s="22">
        <v>6702</v>
      </c>
      <c r="B1178" s="3">
        <v>37162</v>
      </c>
      <c r="C1178" s="3">
        <v>44128</v>
      </c>
      <c r="D1178" s="2">
        <f t="shared" si="37"/>
        <v>19</v>
      </c>
      <c r="E1178" s="4" t="str" cm="1">
        <f t="array" ref="E1178">_xlfn.IFS(
D1178&lt;=5,"Newcomer",
D1178&lt;=10,"Proficient",
D1178&gt;10,"Expert"
)</f>
        <v>Expert</v>
      </c>
      <c r="F1178" s="2" t="s">
        <v>107</v>
      </c>
      <c r="G1178" s="5" t="s">
        <v>67</v>
      </c>
      <c r="H1178" s="5" t="s">
        <v>113</v>
      </c>
      <c r="I1178" s="2">
        <v>11</v>
      </c>
      <c r="J1178" s="2" t="s">
        <v>24</v>
      </c>
      <c r="K1178" s="2" t="s">
        <v>25</v>
      </c>
      <c r="L1178" s="2" t="s">
        <v>96</v>
      </c>
      <c r="M1178" s="4" t="str">
        <f t="shared" si="36"/>
        <v>Involuntary</v>
      </c>
      <c r="N1178" s="23" t="s">
        <v>26</v>
      </c>
    </row>
    <row r="1179" spans="1:14" x14ac:dyDescent="0.25">
      <c r="A1179" s="22">
        <v>6703</v>
      </c>
      <c r="B1179" s="3">
        <v>35398</v>
      </c>
      <c r="C1179" s="3">
        <v>44070</v>
      </c>
      <c r="D1179" s="2">
        <f t="shared" si="37"/>
        <v>24</v>
      </c>
      <c r="E1179" s="4" t="str" cm="1">
        <f t="array" ref="E1179">_xlfn.IFS(
D1179&lt;=5,"Newcomer",
D1179&lt;=10,"Proficient",
D1179&gt;10,"Expert"
)</f>
        <v>Expert</v>
      </c>
      <c r="F1179" s="2" t="s">
        <v>14</v>
      </c>
      <c r="G1179" s="5" t="s">
        <v>71</v>
      </c>
      <c r="H1179" s="5" t="s">
        <v>116</v>
      </c>
      <c r="I1179" s="2">
        <v>43</v>
      </c>
      <c r="J1179" s="2" t="s">
        <v>24</v>
      </c>
      <c r="K1179" s="2" t="s">
        <v>25</v>
      </c>
      <c r="L1179" s="2" t="s">
        <v>50</v>
      </c>
      <c r="M1179" s="4" t="str">
        <f t="shared" si="36"/>
        <v>Voluntary</v>
      </c>
      <c r="N1179" s="23" t="s">
        <v>26</v>
      </c>
    </row>
    <row r="1180" spans="1:14" x14ac:dyDescent="0.25">
      <c r="A1180" s="22">
        <v>6704</v>
      </c>
      <c r="B1180" s="3">
        <v>36960</v>
      </c>
      <c r="C1180" s="3">
        <v>44177</v>
      </c>
      <c r="D1180" s="2">
        <f t="shared" si="37"/>
        <v>19</v>
      </c>
      <c r="E1180" s="4" t="str" cm="1">
        <f t="array" ref="E1180">_xlfn.IFS(
D1180&lt;=5,"Newcomer",
D1180&lt;=10,"Proficient",
D1180&gt;10,"Expert"
)</f>
        <v>Expert</v>
      </c>
      <c r="F1180" s="2" t="s">
        <v>78</v>
      </c>
      <c r="G1180" s="5" t="s">
        <v>62</v>
      </c>
      <c r="H1180" s="5" t="s">
        <v>63</v>
      </c>
      <c r="I1180" s="2">
        <v>21</v>
      </c>
      <c r="J1180" s="2" t="s">
        <v>24</v>
      </c>
      <c r="K1180" s="2" t="s">
        <v>25</v>
      </c>
      <c r="L1180" s="2" t="s">
        <v>50</v>
      </c>
      <c r="M1180" s="4" t="str">
        <f t="shared" si="36"/>
        <v>Voluntary</v>
      </c>
      <c r="N1180" s="23" t="s">
        <v>26</v>
      </c>
    </row>
    <row r="1181" spans="1:14" x14ac:dyDescent="0.25">
      <c r="A1181" s="22">
        <v>6709</v>
      </c>
      <c r="B1181" s="3">
        <v>34013</v>
      </c>
      <c r="C1181" s="3">
        <v>44066</v>
      </c>
      <c r="D1181" s="2">
        <f t="shared" si="37"/>
        <v>27</v>
      </c>
      <c r="E1181" s="4" t="str" cm="1">
        <f t="array" ref="E1181">_xlfn.IFS(
D1181&lt;=5,"Newcomer",
D1181&lt;=10,"Proficient",
D1181&gt;10,"Expert"
)</f>
        <v>Expert</v>
      </c>
      <c r="F1181" s="2" t="s">
        <v>66</v>
      </c>
      <c r="G1181" s="5" t="s">
        <v>71</v>
      </c>
      <c r="H1181" s="5" t="s">
        <v>116</v>
      </c>
      <c r="I1181" s="2">
        <v>36</v>
      </c>
      <c r="J1181" s="2" t="s">
        <v>24</v>
      </c>
      <c r="K1181" s="2" t="s">
        <v>25</v>
      </c>
      <c r="L1181" s="2" t="s">
        <v>50</v>
      </c>
      <c r="M1181" s="4" t="str">
        <f t="shared" si="36"/>
        <v>Voluntary</v>
      </c>
      <c r="N1181" s="23" t="s">
        <v>26</v>
      </c>
    </row>
    <row r="1182" spans="1:14" x14ac:dyDescent="0.25">
      <c r="A1182" s="22">
        <v>6710</v>
      </c>
      <c r="B1182" s="3">
        <v>35406</v>
      </c>
      <c r="C1182" s="3">
        <v>43950</v>
      </c>
      <c r="D1182" s="2">
        <f t="shared" si="37"/>
        <v>24</v>
      </c>
      <c r="E1182" s="4" t="str" cm="1">
        <f t="array" ref="E1182">_xlfn.IFS(
D1182&lt;=5,"Newcomer",
D1182&lt;=10,"Proficient",
D1182&gt;10,"Expert"
)</f>
        <v>Expert</v>
      </c>
      <c r="F1182" s="2" t="s">
        <v>107</v>
      </c>
      <c r="G1182" s="5" t="s">
        <v>67</v>
      </c>
      <c r="H1182" s="5" t="s">
        <v>113</v>
      </c>
      <c r="I1182" s="2">
        <v>11</v>
      </c>
      <c r="J1182" s="2" t="s">
        <v>24</v>
      </c>
      <c r="K1182" s="2" t="s">
        <v>25</v>
      </c>
      <c r="L1182" s="2" t="s">
        <v>96</v>
      </c>
      <c r="M1182" s="4" t="str">
        <f t="shared" si="36"/>
        <v>Involuntary</v>
      </c>
      <c r="N1182" s="23" t="s">
        <v>26</v>
      </c>
    </row>
    <row r="1183" spans="1:14" x14ac:dyDescent="0.25">
      <c r="A1183" s="22">
        <v>6711</v>
      </c>
      <c r="B1183" s="3">
        <v>36654</v>
      </c>
      <c r="C1183" s="3">
        <v>44165</v>
      </c>
      <c r="D1183" s="2">
        <f t="shared" si="37"/>
        <v>20</v>
      </c>
      <c r="E1183" s="4" t="str" cm="1">
        <f t="array" ref="E1183">_xlfn.IFS(
D1183&lt;=5,"Newcomer",
D1183&lt;=10,"Proficient",
D1183&gt;10,"Expert"
)</f>
        <v>Expert</v>
      </c>
      <c r="F1183" s="2" t="s">
        <v>14</v>
      </c>
      <c r="G1183" s="5" t="s">
        <v>71</v>
      </c>
      <c r="H1183" s="5" t="s">
        <v>116</v>
      </c>
      <c r="I1183" s="2">
        <v>43</v>
      </c>
      <c r="J1183" s="2" t="s">
        <v>17</v>
      </c>
      <c r="K1183" s="2" t="s">
        <v>18</v>
      </c>
      <c r="L1183" s="2" t="s">
        <v>50</v>
      </c>
      <c r="M1183" s="4" t="str">
        <f t="shared" si="36"/>
        <v>Voluntary</v>
      </c>
      <c r="N1183" s="23" t="s">
        <v>26</v>
      </c>
    </row>
    <row r="1184" spans="1:14" x14ac:dyDescent="0.25">
      <c r="A1184" s="22">
        <v>6712</v>
      </c>
      <c r="B1184" s="3">
        <v>37105</v>
      </c>
      <c r="C1184" s="3">
        <v>43892</v>
      </c>
      <c r="D1184" s="2">
        <f t="shared" si="37"/>
        <v>19</v>
      </c>
      <c r="E1184" s="4" t="str" cm="1">
        <f t="array" ref="E1184">_xlfn.IFS(
D1184&lt;=5,"Newcomer",
D1184&lt;=10,"Proficient",
D1184&gt;10,"Expert"
)</f>
        <v>Expert</v>
      </c>
      <c r="F1184" s="2" t="s">
        <v>27</v>
      </c>
      <c r="G1184" s="5" t="s">
        <v>62</v>
      </c>
      <c r="H1184" s="5" t="s">
        <v>63</v>
      </c>
      <c r="I1184" s="2">
        <v>16</v>
      </c>
      <c r="J1184" s="2" t="s">
        <v>24</v>
      </c>
      <c r="K1184" s="2" t="s">
        <v>25</v>
      </c>
      <c r="L1184" s="2" t="s">
        <v>50</v>
      </c>
      <c r="M1184" s="4" t="str">
        <f t="shared" si="36"/>
        <v>Voluntary</v>
      </c>
      <c r="N1184" s="23" t="s">
        <v>26</v>
      </c>
    </row>
    <row r="1185" spans="1:14" x14ac:dyDescent="0.25">
      <c r="A1185" s="22">
        <v>6713</v>
      </c>
      <c r="B1185" s="3">
        <v>35009</v>
      </c>
      <c r="C1185" s="3">
        <v>43854</v>
      </c>
      <c r="D1185" s="2">
        <f t="shared" si="37"/>
        <v>25</v>
      </c>
      <c r="E1185" s="4" t="str" cm="1">
        <f t="array" ref="E1185">_xlfn.IFS(
D1185&lt;=5,"Newcomer",
D1185&lt;=10,"Proficient",
D1185&gt;10,"Expert"
)</f>
        <v>Expert</v>
      </c>
      <c r="F1185" s="2" t="s">
        <v>21</v>
      </c>
      <c r="G1185" s="5" t="s">
        <v>47</v>
      </c>
      <c r="H1185" s="5" t="s">
        <v>95</v>
      </c>
      <c r="I1185" s="2">
        <v>19</v>
      </c>
      <c r="J1185" s="2" t="s">
        <v>24</v>
      </c>
      <c r="K1185" s="2" t="s">
        <v>25</v>
      </c>
      <c r="L1185" s="2" t="s">
        <v>50</v>
      </c>
      <c r="M1185" s="4" t="str">
        <f t="shared" si="36"/>
        <v>Voluntary</v>
      </c>
      <c r="N1185" s="23" t="s">
        <v>26</v>
      </c>
    </row>
    <row r="1186" spans="1:14" x14ac:dyDescent="0.25">
      <c r="A1186" s="22">
        <v>6714</v>
      </c>
      <c r="B1186" s="3">
        <v>35822</v>
      </c>
      <c r="C1186" s="3">
        <v>43959</v>
      </c>
      <c r="D1186" s="2">
        <f t="shared" si="37"/>
        <v>22</v>
      </c>
      <c r="E1186" s="4" t="str" cm="1">
        <f t="array" ref="E1186">_xlfn.IFS(
D1186&lt;=5,"Newcomer",
D1186&lt;=10,"Proficient",
D1186&gt;10,"Expert"
)</f>
        <v>Expert</v>
      </c>
      <c r="F1186" s="2" t="s">
        <v>53</v>
      </c>
      <c r="G1186" s="5" t="s">
        <v>67</v>
      </c>
      <c r="H1186" s="5" t="s">
        <v>113</v>
      </c>
      <c r="I1186" s="2">
        <v>31</v>
      </c>
      <c r="J1186" s="2" t="s">
        <v>24</v>
      </c>
      <c r="K1186" s="2" t="s">
        <v>25</v>
      </c>
      <c r="L1186" s="2" t="s">
        <v>50</v>
      </c>
      <c r="M1186" s="4" t="str">
        <f t="shared" si="36"/>
        <v>Voluntary</v>
      </c>
      <c r="N1186" s="23" t="s">
        <v>26</v>
      </c>
    </row>
    <row r="1187" spans="1:14" x14ac:dyDescent="0.25">
      <c r="A1187" s="22">
        <v>6715</v>
      </c>
      <c r="B1187" s="3">
        <v>42223</v>
      </c>
      <c r="C1187" s="3">
        <v>44163</v>
      </c>
      <c r="D1187" s="2">
        <f t="shared" si="37"/>
        <v>5</v>
      </c>
      <c r="E1187" s="4" t="str" cm="1">
        <f t="array" ref="E1187">_xlfn.IFS(
D1187&lt;=5,"Newcomer",
D1187&lt;=10,"Proficient",
D1187&gt;10,"Expert"
)</f>
        <v>Newcomer</v>
      </c>
      <c r="F1187" s="2" t="s">
        <v>41</v>
      </c>
      <c r="G1187" s="5" t="s">
        <v>62</v>
      </c>
      <c r="H1187" s="5" t="s">
        <v>63</v>
      </c>
      <c r="I1187" s="2">
        <v>15</v>
      </c>
      <c r="J1187" s="2" t="s">
        <v>24</v>
      </c>
      <c r="K1187" s="2" t="s">
        <v>25</v>
      </c>
      <c r="L1187" s="2" t="s">
        <v>50</v>
      </c>
      <c r="M1187" s="4" t="str">
        <f t="shared" si="36"/>
        <v>Voluntary</v>
      </c>
      <c r="N1187" s="23" t="s">
        <v>26</v>
      </c>
    </row>
    <row r="1188" spans="1:14" x14ac:dyDescent="0.25">
      <c r="A1188" s="22">
        <v>6717</v>
      </c>
      <c r="B1188" s="3">
        <v>34586</v>
      </c>
      <c r="C1188" s="3">
        <v>44004</v>
      </c>
      <c r="D1188" s="2">
        <f t="shared" si="37"/>
        <v>26</v>
      </c>
      <c r="E1188" s="4" t="str" cm="1">
        <f t="array" ref="E1188">_xlfn.IFS(
D1188&lt;=5,"Newcomer",
D1188&lt;=10,"Proficient",
D1188&gt;10,"Expert"
)</f>
        <v>Expert</v>
      </c>
      <c r="F1188" s="2" t="s">
        <v>115</v>
      </c>
      <c r="G1188" s="5" t="s">
        <v>67</v>
      </c>
      <c r="H1188" s="5" t="s">
        <v>113</v>
      </c>
      <c r="I1188" s="2">
        <v>17</v>
      </c>
      <c r="J1188" s="2" t="s">
        <v>24</v>
      </c>
      <c r="K1188" s="2" t="s">
        <v>25</v>
      </c>
      <c r="L1188" s="2" t="s">
        <v>50</v>
      </c>
      <c r="M1188" s="4" t="str">
        <f t="shared" si="36"/>
        <v>Voluntary</v>
      </c>
      <c r="N1188" s="23" t="s">
        <v>26</v>
      </c>
    </row>
    <row r="1189" spans="1:14" x14ac:dyDescent="0.25">
      <c r="A1189" s="22">
        <v>6740</v>
      </c>
      <c r="B1189" s="3">
        <v>36874</v>
      </c>
      <c r="C1189" s="3">
        <v>43920</v>
      </c>
      <c r="D1189" s="2">
        <f t="shared" si="37"/>
        <v>20</v>
      </c>
      <c r="E1189" s="4" t="str" cm="1">
        <f t="array" ref="E1189">_xlfn.IFS(
D1189&lt;=5,"Newcomer",
D1189&lt;=10,"Proficient",
D1189&gt;10,"Expert"
)</f>
        <v>Expert</v>
      </c>
      <c r="F1189" s="2" t="s">
        <v>106</v>
      </c>
      <c r="G1189" s="5" t="s">
        <v>47</v>
      </c>
      <c r="H1189" s="5" t="s">
        <v>95</v>
      </c>
      <c r="I1189" s="2">
        <v>20</v>
      </c>
      <c r="J1189" s="2" t="s">
        <v>17</v>
      </c>
      <c r="K1189" s="2" t="s">
        <v>18</v>
      </c>
      <c r="L1189" s="2" t="s">
        <v>96</v>
      </c>
      <c r="M1189" s="4" t="str">
        <f t="shared" si="36"/>
        <v>Involuntary</v>
      </c>
      <c r="N1189" s="23" t="s">
        <v>26</v>
      </c>
    </row>
    <row r="1190" spans="1:14" x14ac:dyDescent="0.25">
      <c r="A1190" s="22">
        <v>6741</v>
      </c>
      <c r="B1190" s="3">
        <v>35776</v>
      </c>
      <c r="C1190" s="3">
        <v>43847</v>
      </c>
      <c r="D1190" s="2">
        <f t="shared" si="37"/>
        <v>23</v>
      </c>
      <c r="E1190" s="4" t="str" cm="1">
        <f t="array" ref="E1190">_xlfn.IFS(
D1190&lt;=5,"Newcomer",
D1190&lt;=10,"Proficient",
D1190&gt;10,"Expert"
)</f>
        <v>Expert</v>
      </c>
      <c r="F1190" s="2" t="s">
        <v>104</v>
      </c>
      <c r="G1190" s="5" t="s">
        <v>71</v>
      </c>
      <c r="H1190" s="5" t="s">
        <v>116</v>
      </c>
      <c r="I1190" s="2">
        <v>39</v>
      </c>
      <c r="J1190" s="2" t="s">
        <v>24</v>
      </c>
      <c r="K1190" s="2" t="s">
        <v>25</v>
      </c>
      <c r="L1190" s="2" t="s">
        <v>96</v>
      </c>
      <c r="M1190" s="4" t="str">
        <f t="shared" si="36"/>
        <v>Involuntary</v>
      </c>
      <c r="N1190" s="23" t="s">
        <v>26</v>
      </c>
    </row>
    <row r="1191" spans="1:14" x14ac:dyDescent="0.25">
      <c r="A1191" s="22">
        <v>6747</v>
      </c>
      <c r="B1191" s="3">
        <v>36961</v>
      </c>
      <c r="C1191" s="3">
        <v>44195</v>
      </c>
      <c r="D1191" s="2">
        <f t="shared" si="37"/>
        <v>19</v>
      </c>
      <c r="E1191" s="4" t="str" cm="1">
        <f t="array" ref="E1191">_xlfn.IFS(
D1191&lt;=5,"Newcomer",
D1191&lt;=10,"Proficient",
D1191&gt;10,"Expert"
)</f>
        <v>Expert</v>
      </c>
      <c r="F1191" s="2" t="s">
        <v>90</v>
      </c>
      <c r="G1191" s="5" t="s">
        <v>71</v>
      </c>
      <c r="H1191" s="5" t="s">
        <v>116</v>
      </c>
      <c r="I1191" s="2">
        <v>26</v>
      </c>
      <c r="J1191" s="2" t="s">
        <v>24</v>
      </c>
      <c r="K1191" s="2" t="s">
        <v>25</v>
      </c>
      <c r="L1191" s="2" t="s">
        <v>50</v>
      </c>
      <c r="M1191" s="4" t="str">
        <f t="shared" si="36"/>
        <v>Voluntary</v>
      </c>
      <c r="N1191" s="23" t="s">
        <v>26</v>
      </c>
    </row>
    <row r="1192" spans="1:14" x14ac:dyDescent="0.25">
      <c r="A1192" s="22">
        <v>6755</v>
      </c>
      <c r="B1192" s="3">
        <v>35926</v>
      </c>
      <c r="C1192" s="3">
        <v>43984</v>
      </c>
      <c r="D1192" s="2">
        <f t="shared" si="37"/>
        <v>22</v>
      </c>
      <c r="E1192" s="4" t="str" cm="1">
        <f t="array" ref="E1192">_xlfn.IFS(
D1192&lt;=5,"Newcomer",
D1192&lt;=10,"Proficient",
D1192&gt;10,"Expert"
)</f>
        <v>Expert</v>
      </c>
      <c r="F1192" s="2" t="s">
        <v>102</v>
      </c>
      <c r="G1192" s="5" t="s">
        <v>47</v>
      </c>
      <c r="H1192" s="5" t="s">
        <v>95</v>
      </c>
      <c r="I1192" s="2">
        <v>1</v>
      </c>
      <c r="J1192" s="2" t="s">
        <v>24</v>
      </c>
      <c r="K1192" s="2" t="s">
        <v>25</v>
      </c>
      <c r="L1192" s="2" t="s">
        <v>50</v>
      </c>
      <c r="M1192" s="4" t="str">
        <f t="shared" si="36"/>
        <v>Voluntary</v>
      </c>
      <c r="N1192" s="23" t="s">
        <v>26</v>
      </c>
    </row>
    <row r="1193" spans="1:14" x14ac:dyDescent="0.25">
      <c r="A1193" s="22">
        <v>6763</v>
      </c>
      <c r="B1193" s="3">
        <v>33184</v>
      </c>
      <c r="C1193" s="3">
        <v>44068</v>
      </c>
      <c r="D1193" s="2">
        <f t="shared" si="37"/>
        <v>30</v>
      </c>
      <c r="E1193" s="4" t="str" cm="1">
        <f t="array" ref="E1193">_xlfn.IFS(
D1193&lt;=5,"Newcomer",
D1193&lt;=10,"Proficient",
D1193&gt;10,"Expert"
)</f>
        <v>Expert</v>
      </c>
      <c r="F1193" s="2" t="s">
        <v>108</v>
      </c>
      <c r="G1193" s="5" t="s">
        <v>71</v>
      </c>
      <c r="H1193" s="5" t="s">
        <v>116</v>
      </c>
      <c r="I1193" s="2">
        <v>14</v>
      </c>
      <c r="J1193" s="2" t="s">
        <v>17</v>
      </c>
      <c r="K1193" s="2" t="s">
        <v>18</v>
      </c>
      <c r="L1193" s="2" t="s">
        <v>96</v>
      </c>
      <c r="M1193" s="4" t="str">
        <f t="shared" si="36"/>
        <v>Involuntary</v>
      </c>
      <c r="N1193" s="23" t="s">
        <v>26</v>
      </c>
    </row>
    <row r="1194" spans="1:14" x14ac:dyDescent="0.25">
      <c r="A1194" s="22">
        <v>6773</v>
      </c>
      <c r="B1194" s="3">
        <v>39541</v>
      </c>
      <c r="C1194" s="3">
        <v>43891</v>
      </c>
      <c r="D1194" s="2">
        <f t="shared" si="37"/>
        <v>12</v>
      </c>
      <c r="E1194" s="4" t="str" cm="1">
        <f t="array" ref="E1194">_xlfn.IFS(
D1194&lt;=5,"Newcomer",
D1194&lt;=10,"Proficient",
D1194&gt;10,"Expert"
)</f>
        <v>Expert</v>
      </c>
      <c r="F1194" s="2" t="s">
        <v>41</v>
      </c>
      <c r="G1194" s="5" t="s">
        <v>67</v>
      </c>
      <c r="H1194" s="5" t="s">
        <v>113</v>
      </c>
      <c r="I1194" s="2">
        <v>15</v>
      </c>
      <c r="J1194" s="2" t="s">
        <v>24</v>
      </c>
      <c r="K1194" s="2" t="s">
        <v>25</v>
      </c>
      <c r="L1194" s="2" t="s">
        <v>50</v>
      </c>
      <c r="M1194" s="4" t="str">
        <f t="shared" si="36"/>
        <v>Voluntary</v>
      </c>
      <c r="N1194" s="23" t="s">
        <v>26</v>
      </c>
    </row>
    <row r="1195" spans="1:14" x14ac:dyDescent="0.25">
      <c r="A1195" s="22">
        <v>6774</v>
      </c>
      <c r="B1195" s="3">
        <v>38589</v>
      </c>
      <c r="C1195" s="3">
        <v>43851</v>
      </c>
      <c r="D1195" s="2">
        <f t="shared" si="37"/>
        <v>15</v>
      </c>
      <c r="E1195" s="4" t="str" cm="1">
        <f t="array" ref="E1195">_xlfn.IFS(
D1195&lt;=5,"Newcomer",
D1195&lt;=10,"Proficient",
D1195&gt;10,"Expert"
)</f>
        <v>Expert</v>
      </c>
      <c r="F1195" s="2" t="s">
        <v>90</v>
      </c>
      <c r="G1195" s="5" t="s">
        <v>71</v>
      </c>
      <c r="H1195" s="5" t="s">
        <v>116</v>
      </c>
      <c r="I1195" s="2">
        <v>26</v>
      </c>
      <c r="J1195" s="2" t="s">
        <v>24</v>
      </c>
      <c r="K1195" s="2" t="s">
        <v>25</v>
      </c>
      <c r="L1195" s="2" t="s">
        <v>50</v>
      </c>
      <c r="M1195" s="4" t="str">
        <f t="shared" si="36"/>
        <v>Voluntary</v>
      </c>
      <c r="N1195" s="23" t="s">
        <v>26</v>
      </c>
    </row>
    <row r="1196" spans="1:14" x14ac:dyDescent="0.25">
      <c r="A1196" s="22">
        <v>6781</v>
      </c>
      <c r="B1196" s="3">
        <v>38537</v>
      </c>
      <c r="C1196" s="3">
        <v>44091</v>
      </c>
      <c r="D1196" s="2">
        <f t="shared" si="37"/>
        <v>15</v>
      </c>
      <c r="E1196" s="4" t="str" cm="1">
        <f t="array" ref="E1196">_xlfn.IFS(
D1196&lt;=5,"Newcomer",
D1196&lt;=10,"Proficient",
D1196&gt;10,"Expert"
)</f>
        <v>Expert</v>
      </c>
      <c r="F1196" s="2" t="s">
        <v>106</v>
      </c>
      <c r="G1196" s="5" t="s">
        <v>47</v>
      </c>
      <c r="H1196" s="5" t="s">
        <v>95</v>
      </c>
      <c r="I1196" s="2">
        <v>20</v>
      </c>
      <c r="J1196" s="2" t="s">
        <v>24</v>
      </c>
      <c r="K1196" s="2" t="s">
        <v>25</v>
      </c>
      <c r="L1196" s="2" t="s">
        <v>96</v>
      </c>
      <c r="M1196" s="4" t="str">
        <f t="shared" si="36"/>
        <v>Involuntary</v>
      </c>
      <c r="N1196" s="23" t="s">
        <v>26</v>
      </c>
    </row>
    <row r="1197" spans="1:14" x14ac:dyDescent="0.25">
      <c r="A1197" s="22">
        <v>6784</v>
      </c>
      <c r="B1197" s="3">
        <v>33286</v>
      </c>
      <c r="C1197" s="3">
        <v>43974</v>
      </c>
      <c r="D1197" s="2">
        <f t="shared" si="37"/>
        <v>29</v>
      </c>
      <c r="E1197" s="4" t="str" cm="1">
        <f t="array" ref="E1197">_xlfn.IFS(
D1197&lt;=5,"Newcomer",
D1197&lt;=10,"Proficient",
D1197&gt;10,"Expert"
)</f>
        <v>Expert</v>
      </c>
      <c r="F1197" s="2" t="s">
        <v>110</v>
      </c>
      <c r="G1197" s="5" t="s">
        <v>62</v>
      </c>
      <c r="H1197" s="5" t="s">
        <v>63</v>
      </c>
      <c r="I1197" s="2">
        <v>34</v>
      </c>
      <c r="J1197" s="2" t="s">
        <v>17</v>
      </c>
      <c r="K1197" s="2" t="s">
        <v>18</v>
      </c>
      <c r="L1197" s="2" t="s">
        <v>96</v>
      </c>
      <c r="M1197" s="4" t="str">
        <f t="shared" si="36"/>
        <v>Involuntary</v>
      </c>
      <c r="N1197" s="23" t="s">
        <v>26</v>
      </c>
    </row>
    <row r="1198" spans="1:14" x14ac:dyDescent="0.25">
      <c r="A1198" s="22">
        <v>6789</v>
      </c>
      <c r="B1198" s="3">
        <v>36152</v>
      </c>
      <c r="C1198" s="3">
        <v>43889</v>
      </c>
      <c r="D1198" s="2">
        <f t="shared" si="37"/>
        <v>22</v>
      </c>
      <c r="E1198" s="4" t="str" cm="1">
        <f t="array" ref="E1198">_xlfn.IFS(
D1198&lt;=5,"Newcomer",
D1198&lt;=10,"Proficient",
D1198&gt;10,"Expert"
)</f>
        <v>Expert</v>
      </c>
      <c r="F1198" s="2" t="s">
        <v>81</v>
      </c>
      <c r="G1198" s="5" t="s">
        <v>62</v>
      </c>
      <c r="H1198" s="5" t="s">
        <v>63</v>
      </c>
      <c r="I1198" s="2">
        <v>5</v>
      </c>
      <c r="J1198" s="2" t="s">
        <v>24</v>
      </c>
      <c r="K1198" s="2" t="s">
        <v>25</v>
      </c>
      <c r="L1198" s="2" t="s">
        <v>50</v>
      </c>
      <c r="M1198" s="4" t="str">
        <f t="shared" si="36"/>
        <v>Voluntary</v>
      </c>
      <c r="N1198" s="23" t="s">
        <v>26</v>
      </c>
    </row>
    <row r="1199" spans="1:14" x14ac:dyDescent="0.25">
      <c r="A1199" s="22">
        <v>6790</v>
      </c>
      <c r="B1199" s="3">
        <v>37443</v>
      </c>
      <c r="C1199" s="3">
        <v>44061</v>
      </c>
      <c r="D1199" s="2">
        <f t="shared" si="37"/>
        <v>18</v>
      </c>
      <c r="E1199" s="4" t="str" cm="1">
        <f t="array" ref="E1199">_xlfn.IFS(
D1199&lt;=5,"Newcomer",
D1199&lt;=10,"Proficient",
D1199&gt;10,"Expert"
)</f>
        <v>Expert</v>
      </c>
      <c r="F1199" s="2" t="s">
        <v>14</v>
      </c>
      <c r="G1199" s="5" t="s">
        <v>71</v>
      </c>
      <c r="H1199" s="5" t="s">
        <v>116</v>
      </c>
      <c r="I1199" s="2">
        <v>43</v>
      </c>
      <c r="J1199" s="2" t="s">
        <v>24</v>
      </c>
      <c r="K1199" s="2" t="s">
        <v>25</v>
      </c>
      <c r="L1199" s="2" t="s">
        <v>50</v>
      </c>
      <c r="M1199" s="4" t="str">
        <f t="shared" si="36"/>
        <v>Voluntary</v>
      </c>
      <c r="N1199" s="23" t="s">
        <v>26</v>
      </c>
    </row>
    <row r="1200" spans="1:14" x14ac:dyDescent="0.25">
      <c r="A1200" s="22">
        <v>6804</v>
      </c>
      <c r="B1200" s="3">
        <v>40670</v>
      </c>
      <c r="C1200" s="3">
        <v>44096</v>
      </c>
      <c r="D1200" s="2">
        <f t="shared" si="37"/>
        <v>9</v>
      </c>
      <c r="E1200" s="4" t="str" cm="1">
        <f t="array" ref="E1200">_xlfn.IFS(
D1200&lt;=5,"Newcomer",
D1200&lt;=10,"Proficient",
D1200&gt;10,"Expert"
)</f>
        <v>Proficient</v>
      </c>
      <c r="F1200" s="2" t="s">
        <v>90</v>
      </c>
      <c r="G1200" s="5" t="s">
        <v>71</v>
      </c>
      <c r="H1200" s="5" t="s">
        <v>116</v>
      </c>
      <c r="I1200" s="2">
        <v>26</v>
      </c>
      <c r="J1200" s="2" t="s">
        <v>17</v>
      </c>
      <c r="K1200" s="2" t="s">
        <v>18</v>
      </c>
      <c r="L1200" s="2" t="s">
        <v>50</v>
      </c>
      <c r="M1200" s="4" t="str">
        <f t="shared" si="36"/>
        <v>Voluntary</v>
      </c>
      <c r="N1200" s="23" t="s">
        <v>26</v>
      </c>
    </row>
    <row r="1201" spans="1:14" x14ac:dyDescent="0.25">
      <c r="A1201" s="22">
        <v>6807</v>
      </c>
      <c r="B1201" s="3">
        <v>37979</v>
      </c>
      <c r="C1201" s="3">
        <v>44008</v>
      </c>
      <c r="D1201" s="2">
        <f t="shared" si="37"/>
        <v>17</v>
      </c>
      <c r="E1201" s="4" t="str" cm="1">
        <f t="array" ref="E1201">_xlfn.IFS(
D1201&lt;=5,"Newcomer",
D1201&lt;=10,"Proficient",
D1201&gt;10,"Expert"
)</f>
        <v>Expert</v>
      </c>
      <c r="F1201" s="2" t="s">
        <v>14</v>
      </c>
      <c r="G1201" s="5" t="s">
        <v>71</v>
      </c>
      <c r="H1201" s="5" t="s">
        <v>116</v>
      </c>
      <c r="I1201" s="2">
        <v>43</v>
      </c>
      <c r="J1201" s="2" t="s">
        <v>17</v>
      </c>
      <c r="K1201" s="2" t="s">
        <v>18</v>
      </c>
      <c r="L1201" s="2" t="s">
        <v>50</v>
      </c>
      <c r="M1201" s="4" t="str">
        <f t="shared" si="36"/>
        <v>Voluntary</v>
      </c>
      <c r="N1201" s="23" t="s">
        <v>26</v>
      </c>
    </row>
    <row r="1202" spans="1:14" x14ac:dyDescent="0.25">
      <c r="A1202" s="22">
        <v>6810</v>
      </c>
      <c r="B1202" s="3">
        <v>35653</v>
      </c>
      <c r="C1202" s="3">
        <v>43879</v>
      </c>
      <c r="D1202" s="2">
        <f t="shared" si="37"/>
        <v>23</v>
      </c>
      <c r="E1202" s="4" t="str" cm="1">
        <f t="array" ref="E1202">_xlfn.IFS(
D1202&lt;=5,"Newcomer",
D1202&lt;=10,"Proficient",
D1202&gt;10,"Expert"
)</f>
        <v>Expert</v>
      </c>
      <c r="F1202" s="2" t="s">
        <v>69</v>
      </c>
      <c r="G1202" s="5" t="s">
        <v>71</v>
      </c>
      <c r="H1202" s="5" t="s">
        <v>116</v>
      </c>
      <c r="I1202" s="2">
        <v>28</v>
      </c>
      <c r="J1202" s="2" t="s">
        <v>17</v>
      </c>
      <c r="K1202" s="2" t="s">
        <v>18</v>
      </c>
      <c r="L1202" s="2" t="s">
        <v>50</v>
      </c>
      <c r="M1202" s="4" t="str">
        <f t="shared" si="36"/>
        <v>Voluntary</v>
      </c>
      <c r="N1202" s="23" t="s">
        <v>26</v>
      </c>
    </row>
    <row r="1203" spans="1:14" x14ac:dyDescent="0.25">
      <c r="A1203" s="22">
        <v>6826</v>
      </c>
      <c r="B1203" s="3">
        <v>41139</v>
      </c>
      <c r="C1203" s="3">
        <v>44145</v>
      </c>
      <c r="D1203" s="2">
        <f t="shared" si="37"/>
        <v>8</v>
      </c>
      <c r="E1203" s="4" t="str" cm="1">
        <f t="array" ref="E1203">_xlfn.IFS(
D1203&lt;=5,"Newcomer",
D1203&lt;=10,"Proficient",
D1203&gt;10,"Expert"
)</f>
        <v>Proficient</v>
      </c>
      <c r="F1203" s="2" t="s">
        <v>30</v>
      </c>
      <c r="G1203" s="5" t="s">
        <v>62</v>
      </c>
      <c r="H1203" s="5" t="s">
        <v>63</v>
      </c>
      <c r="I1203" s="2">
        <v>46</v>
      </c>
      <c r="J1203" s="2" t="s">
        <v>24</v>
      </c>
      <c r="K1203" s="2" t="s">
        <v>25</v>
      </c>
      <c r="L1203" s="2" t="s">
        <v>50</v>
      </c>
      <c r="M1203" s="4" t="str">
        <f t="shared" si="36"/>
        <v>Voluntary</v>
      </c>
      <c r="N1203" s="23" t="s">
        <v>26</v>
      </c>
    </row>
    <row r="1204" spans="1:14" x14ac:dyDescent="0.25">
      <c r="A1204" s="22">
        <v>6828</v>
      </c>
      <c r="B1204" s="3">
        <v>35922</v>
      </c>
      <c r="C1204" s="3">
        <v>43956</v>
      </c>
      <c r="D1204" s="2">
        <f t="shared" si="37"/>
        <v>22</v>
      </c>
      <c r="E1204" s="4" t="str" cm="1">
        <f t="array" ref="E1204">_xlfn.IFS(
D1204&lt;=5,"Newcomer",
D1204&lt;=10,"Proficient",
D1204&gt;10,"Expert"
)</f>
        <v>Expert</v>
      </c>
      <c r="F1204" s="2" t="s">
        <v>89</v>
      </c>
      <c r="G1204" s="5" t="s">
        <v>62</v>
      </c>
      <c r="H1204" s="5" t="s">
        <v>63</v>
      </c>
      <c r="I1204" s="2">
        <v>33</v>
      </c>
      <c r="J1204" s="2" t="s">
        <v>24</v>
      </c>
      <c r="K1204" s="2" t="s">
        <v>25</v>
      </c>
      <c r="L1204" s="2" t="s">
        <v>50</v>
      </c>
      <c r="M1204" s="4" t="str">
        <f t="shared" si="36"/>
        <v>Voluntary</v>
      </c>
      <c r="N1204" s="23" t="s">
        <v>26</v>
      </c>
    </row>
    <row r="1205" spans="1:14" x14ac:dyDescent="0.25">
      <c r="A1205" s="22">
        <v>6829</v>
      </c>
      <c r="B1205" s="3">
        <v>38112</v>
      </c>
      <c r="C1205" s="3">
        <v>44022</v>
      </c>
      <c r="D1205" s="2">
        <f t="shared" si="37"/>
        <v>16</v>
      </c>
      <c r="E1205" s="4" t="str" cm="1">
        <f t="array" ref="E1205">_xlfn.IFS(
D1205&lt;=5,"Newcomer",
D1205&lt;=10,"Proficient",
D1205&gt;10,"Expert"
)</f>
        <v>Expert</v>
      </c>
      <c r="F1205" s="2" t="s">
        <v>41</v>
      </c>
      <c r="G1205" s="5" t="s">
        <v>67</v>
      </c>
      <c r="H1205" s="5" t="s">
        <v>113</v>
      </c>
      <c r="I1205" s="2">
        <v>15</v>
      </c>
      <c r="J1205" s="2" t="s">
        <v>24</v>
      </c>
      <c r="K1205" s="2" t="s">
        <v>25</v>
      </c>
      <c r="L1205" s="2" t="s">
        <v>50</v>
      </c>
      <c r="M1205" s="4" t="str">
        <f t="shared" si="36"/>
        <v>Voluntary</v>
      </c>
      <c r="N1205" s="23" t="s">
        <v>26</v>
      </c>
    </row>
    <row r="1206" spans="1:14" x14ac:dyDescent="0.25">
      <c r="A1206" s="22">
        <v>6831</v>
      </c>
      <c r="B1206" s="3">
        <v>35254</v>
      </c>
      <c r="C1206" s="3">
        <v>43845</v>
      </c>
      <c r="D1206" s="2">
        <f t="shared" si="37"/>
        <v>24</v>
      </c>
      <c r="E1206" s="4" t="str" cm="1">
        <f t="array" ref="E1206">_xlfn.IFS(
D1206&lt;=5,"Newcomer",
D1206&lt;=10,"Proficient",
D1206&gt;10,"Expert"
)</f>
        <v>Expert</v>
      </c>
      <c r="F1206" s="2" t="s">
        <v>90</v>
      </c>
      <c r="G1206" s="5" t="s">
        <v>71</v>
      </c>
      <c r="H1206" s="5" t="s">
        <v>116</v>
      </c>
      <c r="I1206" s="2">
        <v>26</v>
      </c>
      <c r="J1206" s="2" t="s">
        <v>24</v>
      </c>
      <c r="K1206" s="2" t="s">
        <v>25</v>
      </c>
      <c r="L1206" s="2" t="s">
        <v>50</v>
      </c>
      <c r="M1206" s="4" t="str">
        <f t="shared" si="36"/>
        <v>Voluntary</v>
      </c>
      <c r="N1206" s="23" t="s">
        <v>26</v>
      </c>
    </row>
    <row r="1207" spans="1:14" x14ac:dyDescent="0.25">
      <c r="A1207" s="22">
        <v>6832</v>
      </c>
      <c r="B1207" s="3">
        <v>39379</v>
      </c>
      <c r="C1207" s="3">
        <v>43999</v>
      </c>
      <c r="D1207" s="2">
        <f t="shared" si="37"/>
        <v>13</v>
      </c>
      <c r="E1207" s="4" t="str" cm="1">
        <f t="array" ref="E1207">_xlfn.IFS(
D1207&lt;=5,"Newcomer",
D1207&lt;=10,"Proficient",
D1207&gt;10,"Expert"
)</f>
        <v>Expert</v>
      </c>
      <c r="F1207" s="2" t="s">
        <v>89</v>
      </c>
      <c r="G1207" s="5" t="s">
        <v>62</v>
      </c>
      <c r="H1207" s="5" t="s">
        <v>63</v>
      </c>
      <c r="I1207" s="2">
        <v>33</v>
      </c>
      <c r="J1207" s="2" t="s">
        <v>24</v>
      </c>
      <c r="K1207" s="2" t="s">
        <v>25</v>
      </c>
      <c r="L1207" s="2" t="s">
        <v>50</v>
      </c>
      <c r="M1207" s="4" t="str">
        <f t="shared" si="36"/>
        <v>Voluntary</v>
      </c>
      <c r="N1207" s="23" t="s">
        <v>26</v>
      </c>
    </row>
    <row r="1208" spans="1:14" x14ac:dyDescent="0.25">
      <c r="A1208" s="22">
        <v>6833</v>
      </c>
      <c r="B1208" s="3">
        <v>33491</v>
      </c>
      <c r="C1208" s="3">
        <v>43945</v>
      </c>
      <c r="D1208" s="2">
        <f t="shared" si="37"/>
        <v>29</v>
      </c>
      <c r="E1208" s="4" t="str" cm="1">
        <f t="array" ref="E1208">_xlfn.IFS(
D1208&lt;=5,"Newcomer",
D1208&lt;=10,"Proficient",
D1208&gt;10,"Expert"
)</f>
        <v>Expert</v>
      </c>
      <c r="F1208" s="2" t="s">
        <v>79</v>
      </c>
      <c r="G1208" s="5" t="s">
        <v>71</v>
      </c>
      <c r="H1208" s="5" t="s">
        <v>116</v>
      </c>
      <c r="I1208" s="2">
        <v>25</v>
      </c>
      <c r="J1208" s="2" t="s">
        <v>24</v>
      </c>
      <c r="K1208" s="2" t="s">
        <v>25</v>
      </c>
      <c r="L1208" s="2" t="s">
        <v>50</v>
      </c>
      <c r="M1208" s="4" t="str">
        <f t="shared" si="36"/>
        <v>Voluntary</v>
      </c>
      <c r="N1208" s="23" t="s">
        <v>26</v>
      </c>
    </row>
    <row r="1209" spans="1:14" x14ac:dyDescent="0.25">
      <c r="A1209" s="22">
        <v>6836</v>
      </c>
      <c r="B1209" s="3">
        <v>39766</v>
      </c>
      <c r="C1209" s="3">
        <v>43896</v>
      </c>
      <c r="D1209" s="2">
        <f t="shared" si="37"/>
        <v>12</v>
      </c>
      <c r="E1209" s="4" t="str" cm="1">
        <f t="array" ref="E1209">_xlfn.IFS(
D1209&lt;=5,"Newcomer",
D1209&lt;=10,"Proficient",
D1209&gt;10,"Expert"
)</f>
        <v>Expert</v>
      </c>
      <c r="F1209" s="2" t="s">
        <v>78</v>
      </c>
      <c r="G1209" s="5" t="s">
        <v>62</v>
      </c>
      <c r="H1209" s="5" t="s">
        <v>63</v>
      </c>
      <c r="I1209" s="2">
        <v>21</v>
      </c>
      <c r="J1209" s="2" t="s">
        <v>24</v>
      </c>
      <c r="K1209" s="2" t="s">
        <v>25</v>
      </c>
      <c r="L1209" s="2" t="s">
        <v>50</v>
      </c>
      <c r="M1209" s="4" t="str">
        <f t="shared" si="36"/>
        <v>Voluntary</v>
      </c>
      <c r="N1209" s="23" t="s">
        <v>26</v>
      </c>
    </row>
    <row r="1210" spans="1:14" x14ac:dyDescent="0.25">
      <c r="A1210" s="22">
        <v>6837</v>
      </c>
      <c r="B1210" s="3">
        <v>34981</v>
      </c>
      <c r="C1210" s="3">
        <v>44038</v>
      </c>
      <c r="D1210" s="2">
        <f t="shared" si="37"/>
        <v>25</v>
      </c>
      <c r="E1210" s="4" t="str" cm="1">
        <f t="array" ref="E1210">_xlfn.IFS(
D1210&lt;=5,"Newcomer",
D1210&lt;=10,"Proficient",
D1210&gt;10,"Expert"
)</f>
        <v>Expert</v>
      </c>
      <c r="F1210" s="2" t="s">
        <v>115</v>
      </c>
      <c r="G1210" s="5" t="s">
        <v>67</v>
      </c>
      <c r="H1210" s="5" t="s">
        <v>113</v>
      </c>
      <c r="I1210" s="2">
        <v>17</v>
      </c>
      <c r="J1210" s="2" t="s">
        <v>24</v>
      </c>
      <c r="K1210" s="2" t="s">
        <v>25</v>
      </c>
      <c r="L1210" s="2" t="s">
        <v>50</v>
      </c>
      <c r="M1210" s="4" t="str">
        <f t="shared" si="36"/>
        <v>Voluntary</v>
      </c>
      <c r="N1210" s="23" t="s">
        <v>26</v>
      </c>
    </row>
    <row r="1211" spans="1:14" x14ac:dyDescent="0.25">
      <c r="A1211" s="22">
        <v>6838</v>
      </c>
      <c r="B1211" s="3">
        <v>41744</v>
      </c>
      <c r="C1211" s="3">
        <v>44091</v>
      </c>
      <c r="D1211" s="2">
        <f t="shared" si="37"/>
        <v>6</v>
      </c>
      <c r="E1211" s="4" t="str" cm="1">
        <f t="array" ref="E1211">_xlfn.IFS(
D1211&lt;=5,"Newcomer",
D1211&lt;=10,"Proficient",
D1211&gt;10,"Expert"
)</f>
        <v>Proficient</v>
      </c>
      <c r="F1211" s="2" t="s">
        <v>70</v>
      </c>
      <c r="G1211" s="5" t="s">
        <v>67</v>
      </c>
      <c r="H1211" s="5" t="s">
        <v>113</v>
      </c>
      <c r="I1211" s="2">
        <v>6</v>
      </c>
      <c r="J1211" s="2" t="s">
        <v>24</v>
      </c>
      <c r="K1211" s="2" t="s">
        <v>25</v>
      </c>
      <c r="L1211" s="2" t="s">
        <v>50</v>
      </c>
      <c r="M1211" s="4" t="str">
        <f t="shared" si="36"/>
        <v>Voluntary</v>
      </c>
      <c r="N1211" s="23" t="s">
        <v>26</v>
      </c>
    </row>
    <row r="1212" spans="1:14" x14ac:dyDescent="0.25">
      <c r="A1212" s="22">
        <v>6840</v>
      </c>
      <c r="B1212" s="3">
        <v>41344</v>
      </c>
      <c r="C1212" s="3">
        <v>44047</v>
      </c>
      <c r="D1212" s="2">
        <f t="shared" si="37"/>
        <v>7</v>
      </c>
      <c r="E1212" s="4" t="str" cm="1">
        <f t="array" ref="E1212">_xlfn.IFS(
D1212&lt;=5,"Newcomer",
D1212&lt;=10,"Proficient",
D1212&gt;10,"Expert"
)</f>
        <v>Proficient</v>
      </c>
      <c r="F1212" s="2" t="s">
        <v>14</v>
      </c>
      <c r="G1212" s="5" t="s">
        <v>71</v>
      </c>
      <c r="H1212" s="5" t="s">
        <v>116</v>
      </c>
      <c r="I1212" s="2">
        <v>43</v>
      </c>
      <c r="J1212" s="2" t="s">
        <v>24</v>
      </c>
      <c r="K1212" s="2" t="s">
        <v>25</v>
      </c>
      <c r="L1212" s="2" t="s">
        <v>50</v>
      </c>
      <c r="M1212" s="4" t="str">
        <f t="shared" si="36"/>
        <v>Voluntary</v>
      </c>
      <c r="N1212" s="23" t="s">
        <v>26</v>
      </c>
    </row>
    <row r="1213" spans="1:14" x14ac:dyDescent="0.25">
      <c r="A1213" s="22">
        <v>6841</v>
      </c>
      <c r="B1213" s="3">
        <v>41271</v>
      </c>
      <c r="C1213" s="3">
        <v>44098</v>
      </c>
      <c r="D1213" s="2">
        <f t="shared" si="37"/>
        <v>8</v>
      </c>
      <c r="E1213" s="4" t="str" cm="1">
        <f t="array" ref="E1213">_xlfn.IFS(
D1213&lt;=5,"Newcomer",
D1213&lt;=10,"Proficient",
D1213&gt;10,"Expert"
)</f>
        <v>Proficient</v>
      </c>
      <c r="F1213" s="2" t="s">
        <v>44</v>
      </c>
      <c r="G1213" s="5" t="s">
        <v>67</v>
      </c>
      <c r="H1213" s="5" t="s">
        <v>113</v>
      </c>
      <c r="I1213" s="2">
        <v>18</v>
      </c>
      <c r="J1213" s="2" t="s">
        <v>24</v>
      </c>
      <c r="K1213" s="2" t="s">
        <v>25</v>
      </c>
      <c r="L1213" s="2" t="s">
        <v>50</v>
      </c>
      <c r="M1213" s="4" t="str">
        <f t="shared" si="36"/>
        <v>Voluntary</v>
      </c>
      <c r="N1213" s="23" t="s">
        <v>26</v>
      </c>
    </row>
    <row r="1214" spans="1:14" x14ac:dyDescent="0.25">
      <c r="A1214" s="22">
        <v>6863</v>
      </c>
      <c r="B1214" s="3">
        <v>34858</v>
      </c>
      <c r="C1214" s="3">
        <v>43950</v>
      </c>
      <c r="D1214" s="2">
        <f t="shared" si="37"/>
        <v>25</v>
      </c>
      <c r="E1214" s="4" t="str" cm="1">
        <f t="array" ref="E1214">_xlfn.IFS(
D1214&lt;=5,"Newcomer",
D1214&lt;=10,"Proficient",
D1214&gt;10,"Expert"
)</f>
        <v>Expert</v>
      </c>
      <c r="F1214" s="2" t="s">
        <v>87</v>
      </c>
      <c r="G1214" s="5" t="s">
        <v>67</v>
      </c>
      <c r="H1214" s="5" t="s">
        <v>113</v>
      </c>
      <c r="I1214" s="2">
        <v>40</v>
      </c>
      <c r="J1214" s="2" t="s">
        <v>24</v>
      </c>
      <c r="K1214" s="2" t="s">
        <v>25</v>
      </c>
      <c r="L1214" s="2" t="s">
        <v>50</v>
      </c>
      <c r="M1214" s="4" t="str">
        <f t="shared" si="36"/>
        <v>Voluntary</v>
      </c>
      <c r="N1214" s="23" t="s">
        <v>26</v>
      </c>
    </row>
    <row r="1215" spans="1:14" x14ac:dyDescent="0.25">
      <c r="A1215" s="22">
        <v>6867</v>
      </c>
      <c r="B1215" s="3">
        <v>36436</v>
      </c>
      <c r="C1215" s="3">
        <v>43945</v>
      </c>
      <c r="D1215" s="2">
        <f t="shared" si="37"/>
        <v>21</v>
      </c>
      <c r="E1215" s="4" t="str" cm="1">
        <f t="array" ref="E1215">_xlfn.IFS(
D1215&lt;=5,"Newcomer",
D1215&lt;=10,"Proficient",
D1215&gt;10,"Expert"
)</f>
        <v>Expert</v>
      </c>
      <c r="F1215" s="2" t="s">
        <v>30</v>
      </c>
      <c r="G1215" s="5" t="s">
        <v>62</v>
      </c>
      <c r="H1215" s="5" t="s">
        <v>63</v>
      </c>
      <c r="I1215" s="2">
        <v>46</v>
      </c>
      <c r="J1215" s="2" t="s">
        <v>24</v>
      </c>
      <c r="K1215" s="2" t="s">
        <v>25</v>
      </c>
      <c r="L1215" s="2" t="s">
        <v>50</v>
      </c>
      <c r="M1215" s="4" t="str">
        <f t="shared" si="36"/>
        <v>Voluntary</v>
      </c>
      <c r="N1215" s="23" t="s">
        <v>26</v>
      </c>
    </row>
    <row r="1216" spans="1:14" x14ac:dyDescent="0.25">
      <c r="A1216" s="22">
        <v>6868</v>
      </c>
      <c r="B1216" s="3">
        <v>42316</v>
      </c>
      <c r="C1216" s="3">
        <v>44053</v>
      </c>
      <c r="D1216" s="2">
        <f t="shared" si="37"/>
        <v>5</v>
      </c>
      <c r="E1216" s="4" t="str" cm="1">
        <f t="array" ref="E1216">_xlfn.IFS(
D1216&lt;=5,"Newcomer",
D1216&lt;=10,"Proficient",
D1216&gt;10,"Expert"
)</f>
        <v>Newcomer</v>
      </c>
      <c r="F1216" s="2" t="s">
        <v>89</v>
      </c>
      <c r="G1216" s="5" t="s">
        <v>67</v>
      </c>
      <c r="H1216" s="5" t="s">
        <v>113</v>
      </c>
      <c r="I1216" s="2">
        <v>33</v>
      </c>
      <c r="J1216" s="2" t="s">
        <v>24</v>
      </c>
      <c r="K1216" s="2" t="s">
        <v>25</v>
      </c>
      <c r="L1216" s="2" t="s">
        <v>50</v>
      </c>
      <c r="M1216" s="4" t="str">
        <f t="shared" si="36"/>
        <v>Voluntary</v>
      </c>
      <c r="N1216" s="23" t="s">
        <v>26</v>
      </c>
    </row>
    <row r="1217" spans="1:14" x14ac:dyDescent="0.25">
      <c r="A1217" s="22">
        <v>6869</v>
      </c>
      <c r="B1217" s="3">
        <v>40472</v>
      </c>
      <c r="C1217" s="3">
        <v>43962</v>
      </c>
      <c r="D1217" s="2">
        <f t="shared" si="37"/>
        <v>10</v>
      </c>
      <c r="E1217" s="4" t="str" cm="1">
        <f t="array" ref="E1217">_xlfn.IFS(
D1217&lt;=5,"Newcomer",
D1217&lt;=10,"Proficient",
D1217&gt;10,"Expert"
)</f>
        <v>Proficient</v>
      </c>
      <c r="F1217" s="2" t="s">
        <v>81</v>
      </c>
      <c r="G1217" s="5" t="s">
        <v>62</v>
      </c>
      <c r="H1217" s="5" t="s">
        <v>63</v>
      </c>
      <c r="I1217" s="2">
        <v>5</v>
      </c>
      <c r="J1217" s="2" t="s">
        <v>24</v>
      </c>
      <c r="K1217" s="2" t="s">
        <v>25</v>
      </c>
      <c r="L1217" s="2" t="s">
        <v>50</v>
      </c>
      <c r="M1217" s="4" t="str">
        <f t="shared" si="36"/>
        <v>Voluntary</v>
      </c>
      <c r="N1217" s="23" t="s">
        <v>26</v>
      </c>
    </row>
    <row r="1218" spans="1:14" x14ac:dyDescent="0.25">
      <c r="A1218" s="22">
        <v>6870</v>
      </c>
      <c r="B1218" s="3">
        <v>36492</v>
      </c>
      <c r="C1218" s="3">
        <v>44143</v>
      </c>
      <c r="D1218" s="2">
        <f t="shared" si="37"/>
        <v>21</v>
      </c>
      <c r="E1218" s="4" t="str" cm="1">
        <f t="array" ref="E1218">_xlfn.IFS(
D1218&lt;=5,"Newcomer",
D1218&lt;=10,"Proficient",
D1218&gt;10,"Expert"
)</f>
        <v>Expert</v>
      </c>
      <c r="F1218" s="2" t="s">
        <v>107</v>
      </c>
      <c r="G1218" s="5" t="s">
        <v>67</v>
      </c>
      <c r="H1218" s="5" t="s">
        <v>113</v>
      </c>
      <c r="I1218" s="2">
        <v>11</v>
      </c>
      <c r="J1218" s="2" t="s">
        <v>24</v>
      </c>
      <c r="K1218" s="2" t="s">
        <v>25</v>
      </c>
      <c r="L1218" s="2" t="s">
        <v>96</v>
      </c>
      <c r="M1218" s="4" t="str">
        <f t="shared" ref="M1218:M1281" si="38">IF(OR(L1218="Retirement",L1218="Resignation"),"Voluntary","Involuntary")</f>
        <v>Involuntary</v>
      </c>
      <c r="N1218" s="23" t="s">
        <v>26</v>
      </c>
    </row>
    <row r="1219" spans="1:14" x14ac:dyDescent="0.25">
      <c r="A1219" s="22">
        <v>6872</v>
      </c>
      <c r="B1219" s="3">
        <v>37097</v>
      </c>
      <c r="C1219" s="3">
        <v>43973</v>
      </c>
      <c r="D1219" s="2">
        <f t="shared" ref="D1219:D1282" si="39">YEAR(C1219)-YEAR(B1219)</f>
        <v>19</v>
      </c>
      <c r="E1219" s="4" t="str" cm="1">
        <f t="array" ref="E1219">_xlfn.IFS(
D1219&lt;=5,"Newcomer",
D1219&lt;=10,"Proficient",
D1219&gt;10,"Expert"
)</f>
        <v>Expert</v>
      </c>
      <c r="F1219" s="2" t="s">
        <v>110</v>
      </c>
      <c r="G1219" s="5" t="s">
        <v>62</v>
      </c>
      <c r="H1219" s="5" t="s">
        <v>63</v>
      </c>
      <c r="I1219" s="2">
        <v>34</v>
      </c>
      <c r="J1219" s="2" t="s">
        <v>17</v>
      </c>
      <c r="K1219" s="2" t="s">
        <v>18</v>
      </c>
      <c r="L1219" s="2" t="s">
        <v>96</v>
      </c>
      <c r="M1219" s="4" t="str">
        <f t="shared" si="38"/>
        <v>Involuntary</v>
      </c>
      <c r="N1219" s="23" t="s">
        <v>26</v>
      </c>
    </row>
    <row r="1220" spans="1:14" x14ac:dyDescent="0.25">
      <c r="A1220" s="22">
        <v>6874</v>
      </c>
      <c r="B1220" s="3">
        <v>42129</v>
      </c>
      <c r="C1220" s="3">
        <v>43965</v>
      </c>
      <c r="D1220" s="2">
        <f t="shared" si="39"/>
        <v>5</v>
      </c>
      <c r="E1220" s="4" t="str" cm="1">
        <f t="array" ref="E1220">_xlfn.IFS(
D1220&lt;=5,"Newcomer",
D1220&lt;=10,"Proficient",
D1220&gt;10,"Expert"
)</f>
        <v>Newcomer</v>
      </c>
      <c r="F1220" s="2" t="s">
        <v>91</v>
      </c>
      <c r="G1220" s="5" t="s">
        <v>67</v>
      </c>
      <c r="H1220" s="5" t="s">
        <v>113</v>
      </c>
      <c r="I1220" s="2">
        <v>29</v>
      </c>
      <c r="J1220" s="2" t="s">
        <v>24</v>
      </c>
      <c r="K1220" s="2" t="s">
        <v>25</v>
      </c>
      <c r="L1220" s="2" t="s">
        <v>50</v>
      </c>
      <c r="M1220" s="4" t="str">
        <f t="shared" si="38"/>
        <v>Voluntary</v>
      </c>
      <c r="N1220" s="23" t="s">
        <v>26</v>
      </c>
    </row>
    <row r="1221" spans="1:14" x14ac:dyDescent="0.25">
      <c r="A1221" s="22">
        <v>6875</v>
      </c>
      <c r="B1221" s="3">
        <v>41996</v>
      </c>
      <c r="C1221" s="3">
        <v>44129</v>
      </c>
      <c r="D1221" s="2">
        <f t="shared" si="39"/>
        <v>6</v>
      </c>
      <c r="E1221" s="4" t="str" cm="1">
        <f t="array" ref="E1221">_xlfn.IFS(
D1221&lt;=5,"Newcomer",
D1221&lt;=10,"Proficient",
D1221&gt;10,"Expert"
)</f>
        <v>Proficient</v>
      </c>
      <c r="F1221" s="2" t="s">
        <v>30</v>
      </c>
      <c r="G1221" s="5" t="s">
        <v>62</v>
      </c>
      <c r="H1221" s="5" t="s">
        <v>63</v>
      </c>
      <c r="I1221" s="2">
        <v>46</v>
      </c>
      <c r="J1221" s="2" t="s">
        <v>24</v>
      </c>
      <c r="K1221" s="2" t="s">
        <v>25</v>
      </c>
      <c r="L1221" s="2" t="s">
        <v>50</v>
      </c>
      <c r="M1221" s="4" t="str">
        <f t="shared" si="38"/>
        <v>Voluntary</v>
      </c>
      <c r="N1221" s="23" t="s">
        <v>26</v>
      </c>
    </row>
    <row r="1222" spans="1:14" x14ac:dyDescent="0.25">
      <c r="A1222" s="22">
        <v>6880</v>
      </c>
      <c r="B1222" s="3">
        <v>39579</v>
      </c>
      <c r="C1222" s="3">
        <v>44175</v>
      </c>
      <c r="D1222" s="2">
        <f t="shared" si="39"/>
        <v>12</v>
      </c>
      <c r="E1222" s="4" t="str" cm="1">
        <f t="array" ref="E1222">_xlfn.IFS(
D1222&lt;=5,"Newcomer",
D1222&lt;=10,"Proficient",
D1222&gt;10,"Expert"
)</f>
        <v>Expert</v>
      </c>
      <c r="F1222" s="2" t="s">
        <v>30</v>
      </c>
      <c r="G1222" s="5" t="s">
        <v>62</v>
      </c>
      <c r="H1222" s="5" t="s">
        <v>63</v>
      </c>
      <c r="I1222" s="2">
        <v>46</v>
      </c>
      <c r="J1222" s="2" t="s">
        <v>24</v>
      </c>
      <c r="K1222" s="2" t="s">
        <v>25</v>
      </c>
      <c r="L1222" s="2" t="s">
        <v>50</v>
      </c>
      <c r="M1222" s="4" t="str">
        <f t="shared" si="38"/>
        <v>Voluntary</v>
      </c>
      <c r="N1222" s="23" t="s">
        <v>26</v>
      </c>
    </row>
    <row r="1223" spans="1:14" x14ac:dyDescent="0.25">
      <c r="A1223" s="22">
        <v>6896</v>
      </c>
      <c r="B1223" s="3">
        <v>39401</v>
      </c>
      <c r="C1223" s="3">
        <v>44022</v>
      </c>
      <c r="D1223" s="2">
        <f t="shared" si="39"/>
        <v>13</v>
      </c>
      <c r="E1223" s="4" t="str" cm="1">
        <f t="array" ref="E1223">_xlfn.IFS(
D1223&lt;=5,"Newcomer",
D1223&lt;=10,"Proficient",
D1223&gt;10,"Expert"
)</f>
        <v>Expert</v>
      </c>
      <c r="F1223" s="2" t="s">
        <v>14</v>
      </c>
      <c r="G1223" s="5" t="s">
        <v>71</v>
      </c>
      <c r="H1223" s="5" t="s">
        <v>116</v>
      </c>
      <c r="I1223" s="2">
        <v>43</v>
      </c>
      <c r="J1223" s="2" t="s">
        <v>17</v>
      </c>
      <c r="K1223" s="2" t="s">
        <v>18</v>
      </c>
      <c r="L1223" s="2" t="s">
        <v>50</v>
      </c>
      <c r="M1223" s="4" t="str">
        <f t="shared" si="38"/>
        <v>Voluntary</v>
      </c>
      <c r="N1223" s="23" t="s">
        <v>26</v>
      </c>
    </row>
    <row r="1224" spans="1:14" x14ac:dyDescent="0.25">
      <c r="A1224" s="22">
        <v>6912</v>
      </c>
      <c r="B1224" s="3">
        <v>38313</v>
      </c>
      <c r="C1224" s="3">
        <v>44140</v>
      </c>
      <c r="D1224" s="2">
        <f t="shared" si="39"/>
        <v>16</v>
      </c>
      <c r="E1224" s="4" t="str" cm="1">
        <f t="array" ref="E1224">_xlfn.IFS(
D1224&lt;=5,"Newcomer",
D1224&lt;=10,"Proficient",
D1224&gt;10,"Expert"
)</f>
        <v>Expert</v>
      </c>
      <c r="F1224" s="2" t="s">
        <v>114</v>
      </c>
      <c r="G1224" s="5" t="s">
        <v>42</v>
      </c>
      <c r="H1224" s="5" t="s">
        <v>105</v>
      </c>
      <c r="I1224" s="2">
        <v>27</v>
      </c>
      <c r="J1224" s="2" t="s">
        <v>24</v>
      </c>
      <c r="K1224" s="2" t="s">
        <v>25</v>
      </c>
      <c r="L1224" s="2" t="s">
        <v>96</v>
      </c>
      <c r="M1224" s="4" t="str">
        <f t="shared" si="38"/>
        <v>Involuntary</v>
      </c>
      <c r="N1224" s="23" t="s">
        <v>26</v>
      </c>
    </row>
    <row r="1225" spans="1:14" x14ac:dyDescent="0.25">
      <c r="A1225" s="22">
        <v>6913</v>
      </c>
      <c r="B1225" s="3">
        <v>35801</v>
      </c>
      <c r="C1225" s="3">
        <v>44006</v>
      </c>
      <c r="D1225" s="2">
        <f t="shared" si="39"/>
        <v>22</v>
      </c>
      <c r="E1225" s="4" t="str" cm="1">
        <f t="array" ref="E1225">_xlfn.IFS(
D1225&lt;=5,"Newcomer",
D1225&lt;=10,"Proficient",
D1225&gt;10,"Expert"
)</f>
        <v>Expert</v>
      </c>
      <c r="F1225" s="2" t="s">
        <v>30</v>
      </c>
      <c r="G1225" s="5" t="s">
        <v>62</v>
      </c>
      <c r="H1225" s="5" t="s">
        <v>63</v>
      </c>
      <c r="I1225" s="2">
        <v>46</v>
      </c>
      <c r="J1225" s="2" t="s">
        <v>17</v>
      </c>
      <c r="K1225" s="2" t="s">
        <v>18</v>
      </c>
      <c r="L1225" s="2" t="s">
        <v>50</v>
      </c>
      <c r="M1225" s="4" t="str">
        <f t="shared" si="38"/>
        <v>Voluntary</v>
      </c>
      <c r="N1225" s="23" t="s">
        <v>26</v>
      </c>
    </row>
    <row r="1226" spans="1:14" x14ac:dyDescent="0.25">
      <c r="A1226" s="22">
        <v>6914</v>
      </c>
      <c r="B1226" s="3">
        <v>36158</v>
      </c>
      <c r="C1226" s="3">
        <v>44175</v>
      </c>
      <c r="D1226" s="2">
        <f t="shared" si="39"/>
        <v>22</v>
      </c>
      <c r="E1226" s="4" t="str" cm="1">
        <f t="array" ref="E1226">_xlfn.IFS(
D1226&lt;=5,"Newcomer",
D1226&lt;=10,"Proficient",
D1226&gt;10,"Expert"
)</f>
        <v>Expert</v>
      </c>
      <c r="F1226" s="2" t="s">
        <v>27</v>
      </c>
      <c r="G1226" s="5" t="s">
        <v>67</v>
      </c>
      <c r="H1226" s="5" t="s">
        <v>113</v>
      </c>
      <c r="I1226" s="2">
        <v>16</v>
      </c>
      <c r="J1226" s="2" t="s">
        <v>17</v>
      </c>
      <c r="K1226" s="2" t="s">
        <v>18</v>
      </c>
      <c r="L1226" s="2" t="s">
        <v>50</v>
      </c>
      <c r="M1226" s="4" t="str">
        <f t="shared" si="38"/>
        <v>Voluntary</v>
      </c>
      <c r="N1226" s="23" t="s">
        <v>26</v>
      </c>
    </row>
    <row r="1227" spans="1:14" x14ac:dyDescent="0.25">
      <c r="A1227" s="22">
        <v>6915</v>
      </c>
      <c r="B1227" s="3">
        <v>40331</v>
      </c>
      <c r="C1227" s="3">
        <v>43950</v>
      </c>
      <c r="D1227" s="2">
        <f t="shared" si="39"/>
        <v>10</v>
      </c>
      <c r="E1227" s="4" t="str" cm="1">
        <f t="array" ref="E1227">_xlfn.IFS(
D1227&lt;=5,"Newcomer",
D1227&lt;=10,"Proficient",
D1227&gt;10,"Expert"
)</f>
        <v>Proficient</v>
      </c>
      <c r="F1227" s="2" t="s">
        <v>30</v>
      </c>
      <c r="G1227" s="5" t="s">
        <v>62</v>
      </c>
      <c r="H1227" s="5" t="s">
        <v>63</v>
      </c>
      <c r="I1227" s="2">
        <v>46</v>
      </c>
      <c r="J1227" s="2" t="s">
        <v>17</v>
      </c>
      <c r="K1227" s="2" t="s">
        <v>18</v>
      </c>
      <c r="L1227" s="2" t="s">
        <v>50</v>
      </c>
      <c r="M1227" s="4" t="str">
        <f t="shared" si="38"/>
        <v>Voluntary</v>
      </c>
      <c r="N1227" s="23" t="s">
        <v>26</v>
      </c>
    </row>
    <row r="1228" spans="1:14" x14ac:dyDescent="0.25">
      <c r="A1228" s="22">
        <v>6918</v>
      </c>
      <c r="B1228" s="3">
        <v>32917</v>
      </c>
      <c r="C1228" s="3">
        <v>43949</v>
      </c>
      <c r="D1228" s="2">
        <f t="shared" si="39"/>
        <v>30</v>
      </c>
      <c r="E1228" s="4" t="str" cm="1">
        <f t="array" ref="E1228">_xlfn.IFS(
D1228&lt;=5,"Newcomer",
D1228&lt;=10,"Proficient",
D1228&gt;10,"Expert"
)</f>
        <v>Expert</v>
      </c>
      <c r="F1228" s="2" t="s">
        <v>14</v>
      </c>
      <c r="G1228" s="5" t="s">
        <v>71</v>
      </c>
      <c r="H1228" s="5" t="s">
        <v>116</v>
      </c>
      <c r="I1228" s="2">
        <v>43</v>
      </c>
      <c r="J1228" s="2" t="s">
        <v>17</v>
      </c>
      <c r="K1228" s="2" t="s">
        <v>18</v>
      </c>
      <c r="L1228" s="2" t="s">
        <v>50</v>
      </c>
      <c r="M1228" s="4" t="str">
        <f t="shared" si="38"/>
        <v>Voluntary</v>
      </c>
      <c r="N1228" s="23" t="s">
        <v>26</v>
      </c>
    </row>
    <row r="1229" spans="1:14" x14ac:dyDescent="0.25">
      <c r="A1229" s="22">
        <v>6919</v>
      </c>
      <c r="B1229" s="3">
        <v>38564</v>
      </c>
      <c r="C1229" s="3">
        <v>43965</v>
      </c>
      <c r="D1229" s="2">
        <f t="shared" si="39"/>
        <v>15</v>
      </c>
      <c r="E1229" s="4" t="str" cm="1">
        <f t="array" ref="E1229">_xlfn.IFS(
D1229&lt;=5,"Newcomer",
D1229&lt;=10,"Proficient",
D1229&gt;10,"Expert"
)</f>
        <v>Expert</v>
      </c>
      <c r="F1229" s="2" t="s">
        <v>44</v>
      </c>
      <c r="G1229" s="5" t="s">
        <v>67</v>
      </c>
      <c r="H1229" s="5" t="s">
        <v>113</v>
      </c>
      <c r="I1229" s="2">
        <v>18</v>
      </c>
      <c r="J1229" s="2" t="s">
        <v>24</v>
      </c>
      <c r="K1229" s="2" t="s">
        <v>25</v>
      </c>
      <c r="L1229" s="2" t="s">
        <v>50</v>
      </c>
      <c r="M1229" s="4" t="str">
        <f t="shared" si="38"/>
        <v>Voluntary</v>
      </c>
      <c r="N1229" s="23" t="s">
        <v>26</v>
      </c>
    </row>
    <row r="1230" spans="1:14" x14ac:dyDescent="0.25">
      <c r="A1230" s="22">
        <v>6921</v>
      </c>
      <c r="B1230" s="3">
        <v>34234</v>
      </c>
      <c r="C1230" s="3">
        <v>43883</v>
      </c>
      <c r="D1230" s="2">
        <f t="shared" si="39"/>
        <v>27</v>
      </c>
      <c r="E1230" s="4" t="str" cm="1">
        <f t="array" ref="E1230">_xlfn.IFS(
D1230&lt;=5,"Newcomer",
D1230&lt;=10,"Proficient",
D1230&gt;10,"Expert"
)</f>
        <v>Expert</v>
      </c>
      <c r="F1230" s="2" t="s">
        <v>14</v>
      </c>
      <c r="G1230" s="5" t="s">
        <v>71</v>
      </c>
      <c r="H1230" s="5" t="s">
        <v>116</v>
      </c>
      <c r="I1230" s="2">
        <v>43</v>
      </c>
      <c r="J1230" s="2" t="s">
        <v>17</v>
      </c>
      <c r="K1230" s="2" t="s">
        <v>18</v>
      </c>
      <c r="L1230" s="2" t="s">
        <v>50</v>
      </c>
      <c r="M1230" s="4" t="str">
        <f t="shared" si="38"/>
        <v>Voluntary</v>
      </c>
      <c r="N1230" s="23" t="s">
        <v>26</v>
      </c>
    </row>
    <row r="1231" spans="1:14" x14ac:dyDescent="0.25">
      <c r="A1231" s="22">
        <v>6937</v>
      </c>
      <c r="B1231" s="3">
        <v>33857</v>
      </c>
      <c r="C1231" s="3">
        <v>44135</v>
      </c>
      <c r="D1231" s="2">
        <f t="shared" si="39"/>
        <v>28</v>
      </c>
      <c r="E1231" s="4" t="str" cm="1">
        <f t="array" ref="E1231">_xlfn.IFS(
D1231&lt;=5,"Newcomer",
D1231&lt;=10,"Proficient",
D1231&gt;10,"Expert"
)</f>
        <v>Expert</v>
      </c>
      <c r="F1231" s="2" t="s">
        <v>14</v>
      </c>
      <c r="G1231" s="5" t="s">
        <v>71</v>
      </c>
      <c r="H1231" s="5" t="s">
        <v>116</v>
      </c>
      <c r="I1231" s="2">
        <v>43</v>
      </c>
      <c r="J1231" s="2" t="s">
        <v>24</v>
      </c>
      <c r="K1231" s="2" t="s">
        <v>25</v>
      </c>
      <c r="L1231" s="2" t="s">
        <v>50</v>
      </c>
      <c r="M1231" s="4" t="str">
        <f t="shared" si="38"/>
        <v>Voluntary</v>
      </c>
      <c r="N1231" s="23" t="s">
        <v>26</v>
      </c>
    </row>
    <row r="1232" spans="1:14" x14ac:dyDescent="0.25">
      <c r="A1232" s="22">
        <v>6941</v>
      </c>
      <c r="B1232" s="3">
        <v>33594</v>
      </c>
      <c r="C1232" s="3">
        <v>44065</v>
      </c>
      <c r="D1232" s="2">
        <f t="shared" si="39"/>
        <v>29</v>
      </c>
      <c r="E1232" s="4" t="str" cm="1">
        <f t="array" ref="E1232">_xlfn.IFS(
D1232&lt;=5,"Newcomer",
D1232&lt;=10,"Proficient",
D1232&gt;10,"Expert"
)</f>
        <v>Expert</v>
      </c>
      <c r="F1232" s="2" t="s">
        <v>114</v>
      </c>
      <c r="G1232" s="5" t="s">
        <v>71</v>
      </c>
      <c r="H1232" s="5" t="s">
        <v>116</v>
      </c>
      <c r="I1232" s="2">
        <v>27</v>
      </c>
      <c r="J1232" s="2" t="s">
        <v>24</v>
      </c>
      <c r="K1232" s="2" t="s">
        <v>25</v>
      </c>
      <c r="L1232" s="2" t="s">
        <v>96</v>
      </c>
      <c r="M1232" s="4" t="str">
        <f t="shared" si="38"/>
        <v>Involuntary</v>
      </c>
      <c r="N1232" s="23" t="s">
        <v>26</v>
      </c>
    </row>
    <row r="1233" spans="1:14" x14ac:dyDescent="0.25">
      <c r="A1233" s="22">
        <v>6955</v>
      </c>
      <c r="B1233" s="3">
        <v>42225</v>
      </c>
      <c r="C1233" s="3">
        <v>43862</v>
      </c>
      <c r="D1233" s="2">
        <f t="shared" si="39"/>
        <v>5</v>
      </c>
      <c r="E1233" s="4" t="str" cm="1">
        <f t="array" ref="E1233">_xlfn.IFS(
D1233&lt;=5,"Newcomer",
D1233&lt;=10,"Proficient",
D1233&gt;10,"Expert"
)</f>
        <v>Newcomer</v>
      </c>
      <c r="F1233" s="2" t="s">
        <v>106</v>
      </c>
      <c r="G1233" s="5" t="s">
        <v>47</v>
      </c>
      <c r="H1233" s="5" t="s">
        <v>95</v>
      </c>
      <c r="I1233" s="2">
        <v>20</v>
      </c>
      <c r="J1233" s="2" t="s">
        <v>24</v>
      </c>
      <c r="K1233" s="2" t="s">
        <v>25</v>
      </c>
      <c r="L1233" s="2" t="s">
        <v>96</v>
      </c>
      <c r="M1233" s="4" t="str">
        <f t="shared" si="38"/>
        <v>Involuntary</v>
      </c>
      <c r="N1233" s="23" t="s">
        <v>26</v>
      </c>
    </row>
    <row r="1234" spans="1:14" x14ac:dyDescent="0.25">
      <c r="A1234" s="22">
        <v>6974</v>
      </c>
      <c r="B1234" s="3">
        <v>39261</v>
      </c>
      <c r="C1234" s="3">
        <v>43874</v>
      </c>
      <c r="D1234" s="2">
        <f t="shared" si="39"/>
        <v>13</v>
      </c>
      <c r="E1234" s="4" t="str" cm="1">
        <f t="array" ref="E1234">_xlfn.IFS(
D1234&lt;=5,"Newcomer",
D1234&lt;=10,"Proficient",
D1234&gt;10,"Expert"
)</f>
        <v>Expert</v>
      </c>
      <c r="F1234" s="2" t="s">
        <v>14</v>
      </c>
      <c r="G1234" s="5" t="s">
        <v>71</v>
      </c>
      <c r="H1234" s="5" t="s">
        <v>116</v>
      </c>
      <c r="I1234" s="2">
        <v>43</v>
      </c>
      <c r="J1234" s="2" t="s">
        <v>24</v>
      </c>
      <c r="K1234" s="2" t="s">
        <v>25</v>
      </c>
      <c r="L1234" s="2" t="s">
        <v>50</v>
      </c>
      <c r="M1234" s="4" t="str">
        <f t="shared" si="38"/>
        <v>Voluntary</v>
      </c>
      <c r="N1234" s="23" t="s">
        <v>26</v>
      </c>
    </row>
    <row r="1235" spans="1:14" x14ac:dyDescent="0.25">
      <c r="A1235" s="22">
        <v>6980</v>
      </c>
      <c r="B1235" s="3">
        <v>34330</v>
      </c>
      <c r="C1235" s="3">
        <v>43952</v>
      </c>
      <c r="D1235" s="2">
        <f t="shared" si="39"/>
        <v>27</v>
      </c>
      <c r="E1235" s="4" t="str" cm="1">
        <f t="array" ref="E1235">_xlfn.IFS(
D1235&lt;=5,"Newcomer",
D1235&lt;=10,"Proficient",
D1235&gt;10,"Expert"
)</f>
        <v>Expert</v>
      </c>
      <c r="F1235" s="2" t="s">
        <v>91</v>
      </c>
      <c r="G1235" s="5" t="s">
        <v>67</v>
      </c>
      <c r="H1235" s="5" t="s">
        <v>113</v>
      </c>
      <c r="I1235" s="2">
        <v>29</v>
      </c>
      <c r="J1235" s="2" t="s">
        <v>17</v>
      </c>
      <c r="K1235" s="2" t="s">
        <v>18</v>
      </c>
      <c r="L1235" s="2" t="s">
        <v>50</v>
      </c>
      <c r="M1235" s="4" t="str">
        <f t="shared" si="38"/>
        <v>Voluntary</v>
      </c>
      <c r="N1235" s="23" t="s">
        <v>26</v>
      </c>
    </row>
    <row r="1236" spans="1:14" x14ac:dyDescent="0.25">
      <c r="A1236" s="22">
        <v>6981</v>
      </c>
      <c r="B1236" s="3">
        <v>39359</v>
      </c>
      <c r="C1236" s="3">
        <v>43934</v>
      </c>
      <c r="D1236" s="2">
        <f t="shared" si="39"/>
        <v>13</v>
      </c>
      <c r="E1236" s="4" t="str" cm="1">
        <f t="array" ref="E1236">_xlfn.IFS(
D1236&lt;=5,"Newcomer",
D1236&lt;=10,"Proficient",
D1236&gt;10,"Expert"
)</f>
        <v>Expert</v>
      </c>
      <c r="F1236" s="2" t="s">
        <v>44</v>
      </c>
      <c r="G1236" s="5" t="s">
        <v>67</v>
      </c>
      <c r="H1236" s="5" t="s">
        <v>113</v>
      </c>
      <c r="I1236" s="2">
        <v>18</v>
      </c>
      <c r="J1236" s="2" t="s">
        <v>17</v>
      </c>
      <c r="K1236" s="2" t="s">
        <v>18</v>
      </c>
      <c r="L1236" s="2" t="s">
        <v>50</v>
      </c>
      <c r="M1236" s="4" t="str">
        <f t="shared" si="38"/>
        <v>Voluntary</v>
      </c>
      <c r="N1236" s="23" t="s">
        <v>26</v>
      </c>
    </row>
    <row r="1237" spans="1:14" x14ac:dyDescent="0.25">
      <c r="A1237" s="22">
        <v>7005</v>
      </c>
      <c r="B1237" s="3">
        <v>40922</v>
      </c>
      <c r="C1237" s="3">
        <v>43839</v>
      </c>
      <c r="D1237" s="2">
        <f t="shared" si="39"/>
        <v>8</v>
      </c>
      <c r="E1237" s="4" t="str" cm="1">
        <f t="array" ref="E1237">_xlfn.IFS(
D1237&lt;=5,"Newcomer",
D1237&lt;=10,"Proficient",
D1237&gt;10,"Expert"
)</f>
        <v>Proficient</v>
      </c>
      <c r="F1237" s="2" t="s">
        <v>106</v>
      </c>
      <c r="G1237" s="5" t="s">
        <v>62</v>
      </c>
      <c r="H1237" s="5" t="s">
        <v>63</v>
      </c>
      <c r="I1237" s="2">
        <v>20</v>
      </c>
      <c r="J1237" s="2" t="s">
        <v>24</v>
      </c>
      <c r="K1237" s="2" t="s">
        <v>25</v>
      </c>
      <c r="L1237" s="2" t="s">
        <v>96</v>
      </c>
      <c r="M1237" s="4" t="str">
        <f t="shared" si="38"/>
        <v>Involuntary</v>
      </c>
      <c r="N1237" s="23" t="s">
        <v>26</v>
      </c>
    </row>
    <row r="1238" spans="1:14" x14ac:dyDescent="0.25">
      <c r="A1238" s="22">
        <v>7006</v>
      </c>
      <c r="B1238" s="3">
        <v>37755</v>
      </c>
      <c r="C1238" s="3">
        <v>44061</v>
      </c>
      <c r="D1238" s="2">
        <f t="shared" si="39"/>
        <v>17</v>
      </c>
      <c r="E1238" s="4" t="str" cm="1">
        <f t="array" ref="E1238">_xlfn.IFS(
D1238&lt;=5,"Newcomer",
D1238&lt;=10,"Proficient",
D1238&gt;10,"Expert"
)</f>
        <v>Expert</v>
      </c>
      <c r="F1238" s="2" t="s">
        <v>112</v>
      </c>
      <c r="G1238" s="5" t="s">
        <v>62</v>
      </c>
      <c r="H1238" s="5" t="s">
        <v>63</v>
      </c>
      <c r="I1238" s="2">
        <v>24</v>
      </c>
      <c r="J1238" s="2" t="s">
        <v>17</v>
      </c>
      <c r="K1238" s="2" t="s">
        <v>18</v>
      </c>
      <c r="L1238" s="2" t="s">
        <v>96</v>
      </c>
      <c r="M1238" s="4" t="str">
        <f t="shared" si="38"/>
        <v>Involuntary</v>
      </c>
      <c r="N1238" s="23" t="s">
        <v>26</v>
      </c>
    </row>
    <row r="1239" spans="1:14" x14ac:dyDescent="0.25">
      <c r="A1239" s="22">
        <v>7007</v>
      </c>
      <c r="B1239" s="3">
        <v>42029</v>
      </c>
      <c r="C1239" s="3">
        <v>43844</v>
      </c>
      <c r="D1239" s="2">
        <f t="shared" si="39"/>
        <v>5</v>
      </c>
      <c r="E1239" s="4" t="str" cm="1">
        <f t="array" ref="E1239">_xlfn.IFS(
D1239&lt;=5,"Newcomer",
D1239&lt;=10,"Proficient",
D1239&gt;10,"Expert"
)</f>
        <v>Newcomer</v>
      </c>
      <c r="F1239" s="2" t="s">
        <v>86</v>
      </c>
      <c r="G1239" s="5" t="s">
        <v>67</v>
      </c>
      <c r="H1239" s="5" t="s">
        <v>113</v>
      </c>
      <c r="I1239" s="2">
        <v>8</v>
      </c>
      <c r="J1239" s="2" t="s">
        <v>24</v>
      </c>
      <c r="K1239" s="2" t="s">
        <v>25</v>
      </c>
      <c r="L1239" s="2" t="s">
        <v>50</v>
      </c>
      <c r="M1239" s="4" t="str">
        <f t="shared" si="38"/>
        <v>Voluntary</v>
      </c>
      <c r="N1239" s="23" t="s">
        <v>26</v>
      </c>
    </row>
    <row r="1240" spans="1:14" x14ac:dyDescent="0.25">
      <c r="A1240" s="22">
        <v>7010</v>
      </c>
      <c r="B1240" s="3">
        <v>34730</v>
      </c>
      <c r="C1240" s="3">
        <v>44150</v>
      </c>
      <c r="D1240" s="2">
        <f t="shared" si="39"/>
        <v>25</v>
      </c>
      <c r="E1240" s="4" t="str" cm="1">
        <f t="array" ref="E1240">_xlfn.IFS(
D1240&lt;=5,"Newcomer",
D1240&lt;=10,"Proficient",
D1240&gt;10,"Expert"
)</f>
        <v>Expert</v>
      </c>
      <c r="F1240" s="2" t="s">
        <v>104</v>
      </c>
      <c r="G1240" s="5" t="s">
        <v>71</v>
      </c>
      <c r="H1240" s="5" t="s">
        <v>116</v>
      </c>
      <c r="I1240" s="2">
        <v>39</v>
      </c>
      <c r="J1240" s="2" t="s">
        <v>17</v>
      </c>
      <c r="K1240" s="2" t="s">
        <v>18</v>
      </c>
      <c r="L1240" s="2" t="s">
        <v>96</v>
      </c>
      <c r="M1240" s="4" t="str">
        <f t="shared" si="38"/>
        <v>Involuntary</v>
      </c>
      <c r="N1240" s="23" t="s">
        <v>26</v>
      </c>
    </row>
    <row r="1241" spans="1:14" x14ac:dyDescent="0.25">
      <c r="A1241" s="22">
        <v>7016</v>
      </c>
      <c r="B1241" s="3">
        <v>39832</v>
      </c>
      <c r="C1241" s="3">
        <v>43913</v>
      </c>
      <c r="D1241" s="2">
        <f t="shared" si="39"/>
        <v>11</v>
      </c>
      <c r="E1241" s="4" t="str" cm="1">
        <f t="array" ref="E1241">_xlfn.IFS(
D1241&lt;=5,"Newcomer",
D1241&lt;=10,"Proficient",
D1241&gt;10,"Expert"
)</f>
        <v>Expert</v>
      </c>
      <c r="F1241" s="2" t="s">
        <v>112</v>
      </c>
      <c r="G1241" s="5" t="s">
        <v>62</v>
      </c>
      <c r="H1241" s="5" t="s">
        <v>63</v>
      </c>
      <c r="I1241" s="2">
        <v>24</v>
      </c>
      <c r="J1241" s="2" t="s">
        <v>17</v>
      </c>
      <c r="K1241" s="2" t="s">
        <v>18</v>
      </c>
      <c r="L1241" s="2" t="s">
        <v>96</v>
      </c>
      <c r="M1241" s="4" t="str">
        <f t="shared" si="38"/>
        <v>Involuntary</v>
      </c>
      <c r="N1241" s="23" t="s">
        <v>26</v>
      </c>
    </row>
    <row r="1242" spans="1:14" x14ac:dyDescent="0.25">
      <c r="A1242" s="22">
        <v>7020</v>
      </c>
      <c r="B1242" s="3">
        <v>36338</v>
      </c>
      <c r="C1242" s="3">
        <v>44050</v>
      </c>
      <c r="D1242" s="2">
        <f t="shared" si="39"/>
        <v>21</v>
      </c>
      <c r="E1242" s="4" t="str" cm="1">
        <f t="array" ref="E1242">_xlfn.IFS(
D1242&lt;=5,"Newcomer",
D1242&lt;=10,"Proficient",
D1242&gt;10,"Expert"
)</f>
        <v>Expert</v>
      </c>
      <c r="F1242" s="2" t="s">
        <v>100</v>
      </c>
      <c r="G1242" s="5" t="s">
        <v>62</v>
      </c>
      <c r="H1242" s="5" t="s">
        <v>63</v>
      </c>
      <c r="I1242" s="2">
        <v>13</v>
      </c>
      <c r="J1242" s="2" t="s">
        <v>17</v>
      </c>
      <c r="K1242" s="2" t="s">
        <v>18</v>
      </c>
      <c r="L1242" s="2" t="s">
        <v>96</v>
      </c>
      <c r="M1242" s="4" t="str">
        <f t="shared" si="38"/>
        <v>Involuntary</v>
      </c>
      <c r="N1242" s="23" t="s">
        <v>26</v>
      </c>
    </row>
    <row r="1243" spans="1:14" x14ac:dyDescent="0.25">
      <c r="A1243" s="22">
        <v>7023</v>
      </c>
      <c r="B1243" s="3">
        <v>39596</v>
      </c>
      <c r="C1243" s="3">
        <v>44139</v>
      </c>
      <c r="D1243" s="2">
        <f t="shared" si="39"/>
        <v>12</v>
      </c>
      <c r="E1243" s="4" t="str" cm="1">
        <f t="array" ref="E1243">_xlfn.IFS(
D1243&lt;=5,"Newcomer",
D1243&lt;=10,"Proficient",
D1243&gt;10,"Expert"
)</f>
        <v>Expert</v>
      </c>
      <c r="F1243" s="2" t="s">
        <v>27</v>
      </c>
      <c r="G1243" s="5" t="s">
        <v>67</v>
      </c>
      <c r="H1243" s="5" t="s">
        <v>113</v>
      </c>
      <c r="I1243" s="2">
        <v>16</v>
      </c>
      <c r="J1243" s="2" t="s">
        <v>24</v>
      </c>
      <c r="K1243" s="2" t="s">
        <v>25</v>
      </c>
      <c r="L1243" s="2" t="s">
        <v>50</v>
      </c>
      <c r="M1243" s="4" t="str">
        <f t="shared" si="38"/>
        <v>Voluntary</v>
      </c>
      <c r="N1243" s="23" t="s">
        <v>26</v>
      </c>
    </row>
    <row r="1244" spans="1:14" x14ac:dyDescent="0.25">
      <c r="A1244" s="22">
        <v>7025</v>
      </c>
      <c r="B1244" s="3">
        <v>34785</v>
      </c>
      <c r="C1244" s="3">
        <v>44158</v>
      </c>
      <c r="D1244" s="2">
        <f t="shared" si="39"/>
        <v>25</v>
      </c>
      <c r="E1244" s="4" t="str" cm="1">
        <f t="array" ref="E1244">_xlfn.IFS(
D1244&lt;=5,"Newcomer",
D1244&lt;=10,"Proficient",
D1244&gt;10,"Expert"
)</f>
        <v>Expert</v>
      </c>
      <c r="F1244" s="2" t="s">
        <v>73</v>
      </c>
      <c r="G1244" s="5" t="s">
        <v>71</v>
      </c>
      <c r="H1244" s="5" t="s">
        <v>116</v>
      </c>
      <c r="I1244" s="2">
        <v>32</v>
      </c>
      <c r="J1244" s="2" t="s">
        <v>17</v>
      </c>
      <c r="K1244" s="2" t="s">
        <v>18</v>
      </c>
      <c r="L1244" s="2" t="s">
        <v>50</v>
      </c>
      <c r="M1244" s="4" t="str">
        <f t="shared" si="38"/>
        <v>Voluntary</v>
      </c>
      <c r="N1244" s="23" t="s">
        <v>26</v>
      </c>
    </row>
    <row r="1245" spans="1:14" x14ac:dyDescent="0.25">
      <c r="A1245" s="22">
        <v>7026</v>
      </c>
      <c r="B1245" s="3">
        <v>41925</v>
      </c>
      <c r="C1245" s="3">
        <v>43949</v>
      </c>
      <c r="D1245" s="2">
        <f t="shared" si="39"/>
        <v>6</v>
      </c>
      <c r="E1245" s="4" t="str" cm="1">
        <f t="array" ref="E1245">_xlfn.IFS(
D1245&lt;=5,"Newcomer",
D1245&lt;=10,"Proficient",
D1245&gt;10,"Expert"
)</f>
        <v>Proficient</v>
      </c>
      <c r="F1245" s="2" t="s">
        <v>78</v>
      </c>
      <c r="G1245" s="5" t="s">
        <v>67</v>
      </c>
      <c r="H1245" s="5" t="s">
        <v>113</v>
      </c>
      <c r="I1245" s="2">
        <v>21</v>
      </c>
      <c r="J1245" s="2" t="s">
        <v>24</v>
      </c>
      <c r="K1245" s="2" t="s">
        <v>25</v>
      </c>
      <c r="L1245" s="2" t="s">
        <v>50</v>
      </c>
      <c r="M1245" s="4" t="str">
        <f t="shared" si="38"/>
        <v>Voluntary</v>
      </c>
      <c r="N1245" s="23" t="s">
        <v>26</v>
      </c>
    </row>
    <row r="1246" spans="1:14" x14ac:dyDescent="0.25">
      <c r="A1246" s="22">
        <v>7027</v>
      </c>
      <c r="B1246" s="3">
        <v>41388</v>
      </c>
      <c r="C1246" s="3">
        <v>43847</v>
      </c>
      <c r="D1246" s="2">
        <f t="shared" si="39"/>
        <v>7</v>
      </c>
      <c r="E1246" s="4" t="str" cm="1">
        <f t="array" ref="E1246">_xlfn.IFS(
D1246&lt;=5,"Newcomer",
D1246&lt;=10,"Proficient",
D1246&gt;10,"Expert"
)</f>
        <v>Proficient</v>
      </c>
      <c r="F1246" s="2" t="s">
        <v>70</v>
      </c>
      <c r="G1246" s="5" t="s">
        <v>67</v>
      </c>
      <c r="H1246" s="5" t="s">
        <v>113</v>
      </c>
      <c r="I1246" s="2">
        <v>6</v>
      </c>
      <c r="J1246" s="2" t="s">
        <v>24</v>
      </c>
      <c r="K1246" s="2" t="s">
        <v>25</v>
      </c>
      <c r="L1246" s="2" t="s">
        <v>50</v>
      </c>
      <c r="M1246" s="4" t="str">
        <f t="shared" si="38"/>
        <v>Voluntary</v>
      </c>
      <c r="N1246" s="23" t="s">
        <v>26</v>
      </c>
    </row>
    <row r="1247" spans="1:14" x14ac:dyDescent="0.25">
      <c r="A1247" s="22">
        <v>7028</v>
      </c>
      <c r="B1247" s="3">
        <v>39611</v>
      </c>
      <c r="C1247" s="3">
        <v>44068</v>
      </c>
      <c r="D1247" s="2">
        <f t="shared" si="39"/>
        <v>12</v>
      </c>
      <c r="E1247" s="4" t="str" cm="1">
        <f t="array" ref="E1247">_xlfn.IFS(
D1247&lt;=5,"Newcomer",
D1247&lt;=10,"Proficient",
D1247&gt;10,"Expert"
)</f>
        <v>Expert</v>
      </c>
      <c r="F1247" s="2" t="s">
        <v>69</v>
      </c>
      <c r="G1247" s="5" t="s">
        <v>71</v>
      </c>
      <c r="H1247" s="5" t="s">
        <v>116</v>
      </c>
      <c r="I1247" s="2">
        <v>28</v>
      </c>
      <c r="J1247" s="2" t="s">
        <v>17</v>
      </c>
      <c r="K1247" s="2" t="s">
        <v>18</v>
      </c>
      <c r="L1247" s="2" t="s">
        <v>50</v>
      </c>
      <c r="M1247" s="4" t="str">
        <f t="shared" si="38"/>
        <v>Voluntary</v>
      </c>
      <c r="N1247" s="23" t="s">
        <v>26</v>
      </c>
    </row>
    <row r="1248" spans="1:14" x14ac:dyDescent="0.25">
      <c r="A1248" s="22">
        <v>7030</v>
      </c>
      <c r="B1248" s="3">
        <v>34023</v>
      </c>
      <c r="C1248" s="3">
        <v>44003</v>
      </c>
      <c r="D1248" s="2">
        <f t="shared" si="39"/>
        <v>27</v>
      </c>
      <c r="E1248" s="4" t="str" cm="1">
        <f t="array" ref="E1248">_xlfn.IFS(
D1248&lt;=5,"Newcomer",
D1248&lt;=10,"Proficient",
D1248&gt;10,"Expert"
)</f>
        <v>Expert</v>
      </c>
      <c r="F1248" s="2" t="s">
        <v>69</v>
      </c>
      <c r="G1248" s="5" t="s">
        <v>71</v>
      </c>
      <c r="H1248" s="5" t="s">
        <v>116</v>
      </c>
      <c r="I1248" s="2">
        <v>28</v>
      </c>
      <c r="J1248" s="2" t="s">
        <v>24</v>
      </c>
      <c r="K1248" s="2" t="s">
        <v>25</v>
      </c>
      <c r="L1248" s="2" t="s">
        <v>50</v>
      </c>
      <c r="M1248" s="4" t="str">
        <f t="shared" si="38"/>
        <v>Voluntary</v>
      </c>
      <c r="N1248" s="23" t="s">
        <v>26</v>
      </c>
    </row>
    <row r="1249" spans="1:14" x14ac:dyDescent="0.25">
      <c r="A1249" s="22">
        <v>7033</v>
      </c>
      <c r="B1249" s="3">
        <v>34536</v>
      </c>
      <c r="C1249" s="3">
        <v>44037</v>
      </c>
      <c r="D1249" s="2">
        <f t="shared" si="39"/>
        <v>26</v>
      </c>
      <c r="E1249" s="4" t="str" cm="1">
        <f t="array" ref="E1249">_xlfn.IFS(
D1249&lt;=5,"Newcomer",
D1249&lt;=10,"Proficient",
D1249&gt;10,"Expert"
)</f>
        <v>Expert</v>
      </c>
      <c r="F1249" s="2" t="s">
        <v>100</v>
      </c>
      <c r="G1249" s="5" t="s">
        <v>62</v>
      </c>
      <c r="H1249" s="5" t="s">
        <v>63</v>
      </c>
      <c r="I1249" s="2">
        <v>13</v>
      </c>
      <c r="J1249" s="2" t="s">
        <v>17</v>
      </c>
      <c r="K1249" s="2" t="s">
        <v>18</v>
      </c>
      <c r="L1249" s="2" t="s">
        <v>96</v>
      </c>
      <c r="M1249" s="4" t="str">
        <f t="shared" si="38"/>
        <v>Involuntary</v>
      </c>
      <c r="N1249" s="23" t="s">
        <v>26</v>
      </c>
    </row>
    <row r="1250" spans="1:14" x14ac:dyDescent="0.25">
      <c r="A1250" s="22">
        <v>7036</v>
      </c>
      <c r="B1250" s="3">
        <v>40379</v>
      </c>
      <c r="C1250" s="3">
        <v>44152</v>
      </c>
      <c r="D1250" s="2">
        <f t="shared" si="39"/>
        <v>10</v>
      </c>
      <c r="E1250" s="4" t="str" cm="1">
        <f t="array" ref="E1250">_xlfn.IFS(
D1250&lt;=5,"Newcomer",
D1250&lt;=10,"Proficient",
D1250&gt;10,"Expert"
)</f>
        <v>Proficient</v>
      </c>
      <c r="F1250" s="2" t="s">
        <v>14</v>
      </c>
      <c r="G1250" s="5" t="s">
        <v>35</v>
      </c>
      <c r="H1250" s="5" t="s">
        <v>76</v>
      </c>
      <c r="I1250" s="2">
        <v>44</v>
      </c>
      <c r="J1250" s="2" t="s">
        <v>24</v>
      </c>
      <c r="K1250" s="2" t="s">
        <v>25</v>
      </c>
      <c r="L1250" s="2" t="s">
        <v>50</v>
      </c>
      <c r="M1250" s="4" t="str">
        <f t="shared" si="38"/>
        <v>Voluntary</v>
      </c>
      <c r="N1250" s="23" t="s">
        <v>26</v>
      </c>
    </row>
    <row r="1251" spans="1:14" x14ac:dyDescent="0.25">
      <c r="A1251" s="22">
        <v>7039</v>
      </c>
      <c r="B1251" s="3">
        <v>42285</v>
      </c>
      <c r="C1251" s="3">
        <v>43996</v>
      </c>
      <c r="D1251" s="2">
        <f t="shared" si="39"/>
        <v>5</v>
      </c>
      <c r="E1251" s="4" t="str" cm="1">
        <f t="array" ref="E1251">_xlfn.IFS(
D1251&lt;=5,"Newcomer",
D1251&lt;=10,"Proficient",
D1251&gt;10,"Expert"
)</f>
        <v>Newcomer</v>
      </c>
      <c r="F1251" s="2" t="s">
        <v>14</v>
      </c>
      <c r="G1251" s="5" t="s">
        <v>35</v>
      </c>
      <c r="H1251" s="5" t="s">
        <v>76</v>
      </c>
      <c r="I1251" s="2">
        <v>44</v>
      </c>
      <c r="J1251" s="2" t="s">
        <v>24</v>
      </c>
      <c r="K1251" s="2" t="s">
        <v>25</v>
      </c>
      <c r="L1251" s="2" t="s">
        <v>50</v>
      </c>
      <c r="M1251" s="4" t="str">
        <f t="shared" si="38"/>
        <v>Voluntary</v>
      </c>
      <c r="N1251" s="23" t="s">
        <v>26</v>
      </c>
    </row>
    <row r="1252" spans="1:14" x14ac:dyDescent="0.25">
      <c r="A1252" s="22">
        <v>7041</v>
      </c>
      <c r="B1252" s="3">
        <v>38965</v>
      </c>
      <c r="C1252" s="3">
        <v>44014</v>
      </c>
      <c r="D1252" s="2">
        <f t="shared" si="39"/>
        <v>14</v>
      </c>
      <c r="E1252" s="4" t="str" cm="1">
        <f t="array" ref="E1252">_xlfn.IFS(
D1252&lt;=5,"Newcomer",
D1252&lt;=10,"Proficient",
D1252&gt;10,"Expert"
)</f>
        <v>Expert</v>
      </c>
      <c r="F1252" s="2" t="s">
        <v>30</v>
      </c>
      <c r="G1252" s="5" t="s">
        <v>62</v>
      </c>
      <c r="H1252" s="5" t="s">
        <v>63</v>
      </c>
      <c r="I1252" s="2">
        <v>46</v>
      </c>
      <c r="J1252" s="2" t="s">
        <v>24</v>
      </c>
      <c r="K1252" s="2" t="s">
        <v>25</v>
      </c>
      <c r="L1252" s="2" t="s">
        <v>50</v>
      </c>
      <c r="M1252" s="4" t="str">
        <f t="shared" si="38"/>
        <v>Voluntary</v>
      </c>
      <c r="N1252" s="23" t="s">
        <v>26</v>
      </c>
    </row>
    <row r="1253" spans="1:14" x14ac:dyDescent="0.25">
      <c r="A1253" s="22">
        <v>7042</v>
      </c>
      <c r="B1253" s="3">
        <v>37278</v>
      </c>
      <c r="C1253" s="3">
        <v>43833</v>
      </c>
      <c r="D1253" s="2">
        <f t="shared" si="39"/>
        <v>18</v>
      </c>
      <c r="E1253" s="4" t="str" cm="1">
        <f t="array" ref="E1253">_xlfn.IFS(
D1253&lt;=5,"Newcomer",
D1253&lt;=10,"Proficient",
D1253&gt;10,"Expert"
)</f>
        <v>Expert</v>
      </c>
      <c r="F1253" s="2" t="s">
        <v>91</v>
      </c>
      <c r="G1253" s="5" t="s">
        <v>67</v>
      </c>
      <c r="H1253" s="5" t="s">
        <v>113</v>
      </c>
      <c r="I1253" s="2">
        <v>29</v>
      </c>
      <c r="J1253" s="2" t="s">
        <v>24</v>
      </c>
      <c r="K1253" s="2" t="s">
        <v>25</v>
      </c>
      <c r="L1253" s="2" t="s">
        <v>50</v>
      </c>
      <c r="M1253" s="4" t="str">
        <f t="shared" si="38"/>
        <v>Voluntary</v>
      </c>
      <c r="N1253" s="23" t="s">
        <v>26</v>
      </c>
    </row>
    <row r="1254" spans="1:14" x14ac:dyDescent="0.25">
      <c r="A1254" s="22">
        <v>7052</v>
      </c>
      <c r="B1254" s="3">
        <v>39262</v>
      </c>
      <c r="C1254" s="3">
        <v>43858</v>
      </c>
      <c r="D1254" s="2">
        <f t="shared" si="39"/>
        <v>13</v>
      </c>
      <c r="E1254" s="4" t="str" cm="1">
        <f t="array" ref="E1254">_xlfn.IFS(
D1254&lt;=5,"Newcomer",
D1254&lt;=10,"Proficient",
D1254&gt;10,"Expert"
)</f>
        <v>Expert</v>
      </c>
      <c r="F1254" s="2" t="s">
        <v>14</v>
      </c>
      <c r="G1254" s="5" t="s">
        <v>35</v>
      </c>
      <c r="H1254" s="5" t="s">
        <v>76</v>
      </c>
      <c r="I1254" s="2">
        <v>44</v>
      </c>
      <c r="J1254" s="2" t="s">
        <v>17</v>
      </c>
      <c r="K1254" s="2" t="s">
        <v>18</v>
      </c>
      <c r="L1254" s="2" t="s">
        <v>50</v>
      </c>
      <c r="M1254" s="4" t="str">
        <f t="shared" si="38"/>
        <v>Voluntary</v>
      </c>
      <c r="N1254" s="23" t="s">
        <v>26</v>
      </c>
    </row>
    <row r="1255" spans="1:14" x14ac:dyDescent="0.25">
      <c r="A1255" s="22">
        <v>7056</v>
      </c>
      <c r="B1255" s="3">
        <v>35130</v>
      </c>
      <c r="C1255" s="3">
        <v>44121</v>
      </c>
      <c r="D1255" s="2">
        <f t="shared" si="39"/>
        <v>24</v>
      </c>
      <c r="E1255" s="4" t="str" cm="1">
        <f t="array" ref="E1255">_xlfn.IFS(
D1255&lt;=5,"Newcomer",
D1255&lt;=10,"Proficient",
D1255&gt;10,"Expert"
)</f>
        <v>Expert</v>
      </c>
      <c r="F1255" s="2" t="s">
        <v>89</v>
      </c>
      <c r="G1255" s="5" t="s">
        <v>67</v>
      </c>
      <c r="H1255" s="5" t="s">
        <v>113</v>
      </c>
      <c r="I1255" s="2">
        <v>33</v>
      </c>
      <c r="J1255" s="2" t="s">
        <v>17</v>
      </c>
      <c r="K1255" s="2" t="s">
        <v>18</v>
      </c>
      <c r="L1255" s="2" t="s">
        <v>50</v>
      </c>
      <c r="M1255" s="4" t="str">
        <f t="shared" si="38"/>
        <v>Voluntary</v>
      </c>
      <c r="N1255" s="23" t="s">
        <v>26</v>
      </c>
    </row>
    <row r="1256" spans="1:14" x14ac:dyDescent="0.25">
      <c r="A1256" s="22">
        <v>7059</v>
      </c>
      <c r="B1256" s="3">
        <v>41930</v>
      </c>
      <c r="C1256" s="3">
        <v>43837</v>
      </c>
      <c r="D1256" s="2">
        <f t="shared" si="39"/>
        <v>6</v>
      </c>
      <c r="E1256" s="4" t="str" cm="1">
        <f t="array" ref="E1256">_xlfn.IFS(
D1256&lt;=5,"Newcomer",
D1256&lt;=10,"Proficient",
D1256&gt;10,"Expert"
)</f>
        <v>Proficient</v>
      </c>
      <c r="F1256" s="2" t="s">
        <v>114</v>
      </c>
      <c r="G1256" s="5" t="s">
        <v>71</v>
      </c>
      <c r="H1256" s="5" t="s">
        <v>116</v>
      </c>
      <c r="I1256" s="2">
        <v>27</v>
      </c>
      <c r="J1256" s="2" t="s">
        <v>24</v>
      </c>
      <c r="K1256" s="2" t="s">
        <v>25</v>
      </c>
      <c r="L1256" s="2" t="s">
        <v>96</v>
      </c>
      <c r="M1256" s="4" t="str">
        <f t="shared" si="38"/>
        <v>Involuntary</v>
      </c>
      <c r="N1256" s="23" t="s">
        <v>26</v>
      </c>
    </row>
    <row r="1257" spans="1:14" x14ac:dyDescent="0.25">
      <c r="A1257" s="22">
        <v>7067</v>
      </c>
      <c r="B1257" s="3">
        <v>33280</v>
      </c>
      <c r="C1257" s="3">
        <v>44077</v>
      </c>
      <c r="D1257" s="2">
        <f t="shared" si="39"/>
        <v>29</v>
      </c>
      <c r="E1257" s="4" t="str" cm="1">
        <f t="array" ref="E1257">_xlfn.IFS(
D1257&lt;=5,"Newcomer",
D1257&lt;=10,"Proficient",
D1257&gt;10,"Expert"
)</f>
        <v>Expert</v>
      </c>
      <c r="F1257" s="2" t="s">
        <v>44</v>
      </c>
      <c r="G1257" s="5" t="s">
        <v>71</v>
      </c>
      <c r="H1257" s="5" t="s">
        <v>116</v>
      </c>
      <c r="I1257" s="2">
        <v>18</v>
      </c>
      <c r="J1257" s="2" t="s">
        <v>17</v>
      </c>
      <c r="K1257" s="2" t="s">
        <v>18</v>
      </c>
      <c r="L1257" s="2" t="s">
        <v>50</v>
      </c>
      <c r="M1257" s="4" t="str">
        <f t="shared" si="38"/>
        <v>Voluntary</v>
      </c>
      <c r="N1257" s="23" t="s">
        <v>26</v>
      </c>
    </row>
    <row r="1258" spans="1:14" x14ac:dyDescent="0.25">
      <c r="A1258" s="22">
        <v>7079</v>
      </c>
      <c r="B1258" s="3">
        <v>39890</v>
      </c>
      <c r="C1258" s="3">
        <v>43883</v>
      </c>
      <c r="D1258" s="2">
        <f t="shared" si="39"/>
        <v>11</v>
      </c>
      <c r="E1258" s="4" t="str" cm="1">
        <f t="array" ref="E1258">_xlfn.IFS(
D1258&lt;=5,"Newcomer",
D1258&lt;=10,"Proficient",
D1258&gt;10,"Expert"
)</f>
        <v>Expert</v>
      </c>
      <c r="F1258" s="2" t="s">
        <v>100</v>
      </c>
      <c r="G1258" s="5" t="s">
        <v>67</v>
      </c>
      <c r="H1258" s="5" t="s">
        <v>113</v>
      </c>
      <c r="I1258" s="2">
        <v>13</v>
      </c>
      <c r="J1258" s="2" t="s">
        <v>17</v>
      </c>
      <c r="K1258" s="2" t="s">
        <v>18</v>
      </c>
      <c r="L1258" s="2" t="s">
        <v>96</v>
      </c>
      <c r="M1258" s="4" t="str">
        <f t="shared" si="38"/>
        <v>Involuntary</v>
      </c>
      <c r="N1258" s="23" t="s">
        <v>26</v>
      </c>
    </row>
    <row r="1259" spans="1:14" x14ac:dyDescent="0.25">
      <c r="A1259" s="22">
        <v>7080</v>
      </c>
      <c r="B1259" s="3">
        <v>37048</v>
      </c>
      <c r="C1259" s="3">
        <v>43861</v>
      </c>
      <c r="D1259" s="2">
        <f t="shared" si="39"/>
        <v>19</v>
      </c>
      <c r="E1259" s="4" t="str" cm="1">
        <f t="array" ref="E1259">_xlfn.IFS(
D1259&lt;=5,"Newcomer",
D1259&lt;=10,"Proficient",
D1259&gt;10,"Expert"
)</f>
        <v>Expert</v>
      </c>
      <c r="F1259" s="2" t="s">
        <v>114</v>
      </c>
      <c r="G1259" s="5" t="s">
        <v>71</v>
      </c>
      <c r="H1259" s="5" t="s">
        <v>116</v>
      </c>
      <c r="I1259" s="2">
        <v>27</v>
      </c>
      <c r="J1259" s="2" t="s">
        <v>17</v>
      </c>
      <c r="K1259" s="2" t="s">
        <v>18</v>
      </c>
      <c r="L1259" s="2" t="s">
        <v>96</v>
      </c>
      <c r="M1259" s="4" t="str">
        <f t="shared" si="38"/>
        <v>Involuntary</v>
      </c>
      <c r="N1259" s="23" t="s">
        <v>26</v>
      </c>
    </row>
    <row r="1260" spans="1:14" x14ac:dyDescent="0.25">
      <c r="A1260" s="22">
        <v>7083</v>
      </c>
      <c r="B1260" s="3">
        <v>39248</v>
      </c>
      <c r="C1260" s="3">
        <v>43924</v>
      </c>
      <c r="D1260" s="2">
        <f t="shared" si="39"/>
        <v>13</v>
      </c>
      <c r="E1260" s="4" t="str" cm="1">
        <f t="array" ref="E1260">_xlfn.IFS(
D1260&lt;=5,"Newcomer",
D1260&lt;=10,"Proficient",
D1260&gt;10,"Expert"
)</f>
        <v>Expert</v>
      </c>
      <c r="F1260" s="2" t="s">
        <v>53</v>
      </c>
      <c r="G1260" s="5" t="s">
        <v>67</v>
      </c>
      <c r="H1260" s="5" t="s">
        <v>113</v>
      </c>
      <c r="I1260" s="2">
        <v>31</v>
      </c>
      <c r="J1260" s="2" t="s">
        <v>24</v>
      </c>
      <c r="K1260" s="2" t="s">
        <v>25</v>
      </c>
      <c r="L1260" s="2" t="s">
        <v>50</v>
      </c>
      <c r="M1260" s="4" t="str">
        <f t="shared" si="38"/>
        <v>Voluntary</v>
      </c>
      <c r="N1260" s="23" t="s">
        <v>26</v>
      </c>
    </row>
    <row r="1261" spans="1:14" x14ac:dyDescent="0.25">
      <c r="A1261" s="22">
        <v>7086</v>
      </c>
      <c r="B1261" s="3">
        <v>36865</v>
      </c>
      <c r="C1261" s="3">
        <v>43838</v>
      </c>
      <c r="D1261" s="2">
        <f t="shared" si="39"/>
        <v>20</v>
      </c>
      <c r="E1261" s="4" t="str" cm="1">
        <f t="array" ref="E1261">_xlfn.IFS(
D1261&lt;=5,"Newcomer",
D1261&lt;=10,"Proficient",
D1261&gt;10,"Expert"
)</f>
        <v>Expert</v>
      </c>
      <c r="F1261" s="2" t="s">
        <v>30</v>
      </c>
      <c r="G1261" s="5" t="s">
        <v>62</v>
      </c>
      <c r="H1261" s="5" t="s">
        <v>63</v>
      </c>
      <c r="I1261" s="2">
        <v>46</v>
      </c>
      <c r="J1261" s="2" t="s">
        <v>24</v>
      </c>
      <c r="K1261" s="2" t="s">
        <v>25</v>
      </c>
      <c r="L1261" s="2" t="s">
        <v>50</v>
      </c>
      <c r="M1261" s="4" t="str">
        <f t="shared" si="38"/>
        <v>Voluntary</v>
      </c>
      <c r="N1261" s="23" t="s">
        <v>26</v>
      </c>
    </row>
    <row r="1262" spans="1:14" x14ac:dyDescent="0.25">
      <c r="A1262" s="22">
        <v>7088</v>
      </c>
      <c r="B1262" s="3">
        <v>40069</v>
      </c>
      <c r="C1262" s="3">
        <v>43954</v>
      </c>
      <c r="D1262" s="2">
        <f t="shared" si="39"/>
        <v>11</v>
      </c>
      <c r="E1262" s="4" t="str" cm="1">
        <f t="array" ref="E1262">_xlfn.IFS(
D1262&lt;=5,"Newcomer",
D1262&lt;=10,"Proficient",
D1262&gt;10,"Expert"
)</f>
        <v>Expert</v>
      </c>
      <c r="F1262" s="2" t="s">
        <v>90</v>
      </c>
      <c r="G1262" s="5" t="s">
        <v>71</v>
      </c>
      <c r="H1262" s="5" t="s">
        <v>116</v>
      </c>
      <c r="I1262" s="2">
        <v>26</v>
      </c>
      <c r="J1262" s="2" t="s">
        <v>17</v>
      </c>
      <c r="K1262" s="2" t="s">
        <v>18</v>
      </c>
      <c r="L1262" s="2" t="s">
        <v>50</v>
      </c>
      <c r="M1262" s="4" t="str">
        <f t="shared" si="38"/>
        <v>Voluntary</v>
      </c>
      <c r="N1262" s="23" t="s">
        <v>26</v>
      </c>
    </row>
    <row r="1263" spans="1:14" x14ac:dyDescent="0.25">
      <c r="A1263" s="22">
        <v>7089</v>
      </c>
      <c r="B1263" s="3">
        <v>33539</v>
      </c>
      <c r="C1263" s="3">
        <v>43868</v>
      </c>
      <c r="D1263" s="2">
        <f t="shared" si="39"/>
        <v>29</v>
      </c>
      <c r="E1263" s="4" t="str" cm="1">
        <f t="array" ref="E1263">_xlfn.IFS(
D1263&lt;=5,"Newcomer",
D1263&lt;=10,"Proficient",
D1263&gt;10,"Expert"
)</f>
        <v>Expert</v>
      </c>
      <c r="F1263" s="2" t="s">
        <v>86</v>
      </c>
      <c r="G1263" s="5" t="s">
        <v>67</v>
      </c>
      <c r="H1263" s="5" t="s">
        <v>113</v>
      </c>
      <c r="I1263" s="2">
        <v>8</v>
      </c>
      <c r="J1263" s="2" t="s">
        <v>24</v>
      </c>
      <c r="K1263" s="2" t="s">
        <v>25</v>
      </c>
      <c r="L1263" s="2" t="s">
        <v>50</v>
      </c>
      <c r="M1263" s="4" t="str">
        <f t="shared" si="38"/>
        <v>Voluntary</v>
      </c>
      <c r="N1263" s="23" t="s">
        <v>26</v>
      </c>
    </row>
    <row r="1264" spans="1:14" x14ac:dyDescent="0.25">
      <c r="A1264" s="22">
        <v>7091</v>
      </c>
      <c r="B1264" s="3">
        <v>36605</v>
      </c>
      <c r="C1264" s="3">
        <v>43947</v>
      </c>
      <c r="D1264" s="2">
        <f t="shared" si="39"/>
        <v>20</v>
      </c>
      <c r="E1264" s="4" t="str" cm="1">
        <f t="array" ref="E1264">_xlfn.IFS(
D1264&lt;=5,"Newcomer",
D1264&lt;=10,"Proficient",
D1264&gt;10,"Expert"
)</f>
        <v>Expert</v>
      </c>
      <c r="F1264" s="2" t="s">
        <v>90</v>
      </c>
      <c r="G1264" s="5" t="s">
        <v>71</v>
      </c>
      <c r="H1264" s="5" t="s">
        <v>116</v>
      </c>
      <c r="I1264" s="2">
        <v>26</v>
      </c>
      <c r="J1264" s="2" t="s">
        <v>24</v>
      </c>
      <c r="K1264" s="2" t="s">
        <v>25</v>
      </c>
      <c r="L1264" s="2" t="s">
        <v>50</v>
      </c>
      <c r="M1264" s="4" t="str">
        <f t="shared" si="38"/>
        <v>Voluntary</v>
      </c>
      <c r="N1264" s="23" t="s">
        <v>26</v>
      </c>
    </row>
    <row r="1265" spans="1:14" x14ac:dyDescent="0.25">
      <c r="A1265" s="22">
        <v>7093</v>
      </c>
      <c r="B1265" s="3">
        <v>40474</v>
      </c>
      <c r="C1265" s="3">
        <v>43985</v>
      </c>
      <c r="D1265" s="2">
        <f t="shared" si="39"/>
        <v>10</v>
      </c>
      <c r="E1265" s="4" t="str" cm="1">
        <f t="array" ref="E1265">_xlfn.IFS(
D1265&lt;=5,"Newcomer",
D1265&lt;=10,"Proficient",
D1265&gt;10,"Expert"
)</f>
        <v>Proficient</v>
      </c>
      <c r="F1265" s="2" t="s">
        <v>14</v>
      </c>
      <c r="G1265" s="5" t="s">
        <v>35</v>
      </c>
      <c r="H1265" s="5" t="s">
        <v>76</v>
      </c>
      <c r="I1265" s="2">
        <v>44</v>
      </c>
      <c r="J1265" s="2" t="s">
        <v>24</v>
      </c>
      <c r="K1265" s="2" t="s">
        <v>25</v>
      </c>
      <c r="L1265" s="2" t="s">
        <v>50</v>
      </c>
      <c r="M1265" s="4" t="str">
        <f t="shared" si="38"/>
        <v>Voluntary</v>
      </c>
      <c r="N1265" s="23" t="s">
        <v>26</v>
      </c>
    </row>
    <row r="1266" spans="1:14" x14ac:dyDescent="0.25">
      <c r="A1266" s="22">
        <v>7094</v>
      </c>
      <c r="B1266" s="3">
        <v>33940</v>
      </c>
      <c r="C1266" s="3">
        <v>43885</v>
      </c>
      <c r="D1266" s="2">
        <f t="shared" si="39"/>
        <v>28</v>
      </c>
      <c r="E1266" s="4" t="str" cm="1">
        <f t="array" ref="E1266">_xlfn.IFS(
D1266&lt;=5,"Newcomer",
D1266&lt;=10,"Proficient",
D1266&gt;10,"Expert"
)</f>
        <v>Expert</v>
      </c>
      <c r="F1266" s="2" t="s">
        <v>53</v>
      </c>
      <c r="G1266" s="5" t="s">
        <v>67</v>
      </c>
      <c r="H1266" s="5" t="s">
        <v>113</v>
      </c>
      <c r="I1266" s="2">
        <v>31</v>
      </c>
      <c r="J1266" s="2" t="s">
        <v>24</v>
      </c>
      <c r="K1266" s="2" t="s">
        <v>25</v>
      </c>
      <c r="L1266" s="2" t="s">
        <v>50</v>
      </c>
      <c r="M1266" s="4" t="str">
        <f t="shared" si="38"/>
        <v>Voluntary</v>
      </c>
      <c r="N1266" s="23" t="s">
        <v>26</v>
      </c>
    </row>
    <row r="1267" spans="1:14" x14ac:dyDescent="0.25">
      <c r="A1267" s="22">
        <v>7096</v>
      </c>
      <c r="B1267" s="3">
        <v>37869</v>
      </c>
      <c r="C1267" s="3">
        <v>43917</v>
      </c>
      <c r="D1267" s="2">
        <f t="shared" si="39"/>
        <v>17</v>
      </c>
      <c r="E1267" s="4" t="str" cm="1">
        <f t="array" ref="E1267">_xlfn.IFS(
D1267&lt;=5,"Newcomer",
D1267&lt;=10,"Proficient",
D1267&gt;10,"Expert"
)</f>
        <v>Expert</v>
      </c>
      <c r="F1267" s="2" t="s">
        <v>70</v>
      </c>
      <c r="G1267" s="5" t="s">
        <v>67</v>
      </c>
      <c r="H1267" s="5" t="s">
        <v>113</v>
      </c>
      <c r="I1267" s="2">
        <v>6</v>
      </c>
      <c r="J1267" s="2" t="s">
        <v>24</v>
      </c>
      <c r="K1267" s="2" t="s">
        <v>25</v>
      </c>
      <c r="L1267" s="2" t="s">
        <v>50</v>
      </c>
      <c r="M1267" s="4" t="str">
        <f t="shared" si="38"/>
        <v>Voluntary</v>
      </c>
      <c r="N1267" s="23" t="s">
        <v>26</v>
      </c>
    </row>
    <row r="1268" spans="1:14" x14ac:dyDescent="0.25">
      <c r="A1268" s="22">
        <v>7100</v>
      </c>
      <c r="B1268" s="3">
        <v>37283</v>
      </c>
      <c r="C1268" s="3">
        <v>43916</v>
      </c>
      <c r="D1268" s="2">
        <f t="shared" si="39"/>
        <v>18</v>
      </c>
      <c r="E1268" s="4" t="str" cm="1">
        <f t="array" ref="E1268">_xlfn.IFS(
D1268&lt;=5,"Newcomer",
D1268&lt;=10,"Proficient",
D1268&gt;10,"Expert"
)</f>
        <v>Expert</v>
      </c>
      <c r="F1268" s="2" t="s">
        <v>14</v>
      </c>
      <c r="G1268" s="5" t="s">
        <v>35</v>
      </c>
      <c r="H1268" s="5" t="s">
        <v>76</v>
      </c>
      <c r="I1268" s="2">
        <v>44</v>
      </c>
      <c r="J1268" s="2" t="s">
        <v>24</v>
      </c>
      <c r="K1268" s="2" t="s">
        <v>25</v>
      </c>
      <c r="L1268" s="2" t="s">
        <v>50</v>
      </c>
      <c r="M1268" s="4" t="str">
        <f t="shared" si="38"/>
        <v>Voluntary</v>
      </c>
      <c r="N1268" s="23" t="s">
        <v>26</v>
      </c>
    </row>
    <row r="1269" spans="1:14" x14ac:dyDescent="0.25">
      <c r="A1269" s="22">
        <v>7101</v>
      </c>
      <c r="B1269" s="3">
        <v>41586</v>
      </c>
      <c r="C1269" s="3">
        <v>43874</v>
      </c>
      <c r="D1269" s="2">
        <f t="shared" si="39"/>
        <v>7</v>
      </c>
      <c r="E1269" s="4" t="str" cm="1">
        <f t="array" ref="E1269">_xlfn.IFS(
D1269&lt;=5,"Newcomer",
D1269&lt;=10,"Proficient",
D1269&gt;10,"Expert"
)</f>
        <v>Proficient</v>
      </c>
      <c r="F1269" s="2" t="s">
        <v>81</v>
      </c>
      <c r="G1269" s="5" t="s">
        <v>62</v>
      </c>
      <c r="H1269" s="5" t="s">
        <v>63</v>
      </c>
      <c r="I1269" s="2">
        <v>5</v>
      </c>
      <c r="J1269" s="2" t="s">
        <v>24</v>
      </c>
      <c r="K1269" s="2" t="s">
        <v>25</v>
      </c>
      <c r="L1269" s="2" t="s">
        <v>50</v>
      </c>
      <c r="M1269" s="4" t="str">
        <f t="shared" si="38"/>
        <v>Voluntary</v>
      </c>
      <c r="N1269" s="23" t="s">
        <v>26</v>
      </c>
    </row>
    <row r="1270" spans="1:14" x14ac:dyDescent="0.25">
      <c r="A1270" s="22">
        <v>7103</v>
      </c>
      <c r="B1270" s="3">
        <v>36177</v>
      </c>
      <c r="C1270" s="3">
        <v>44065</v>
      </c>
      <c r="D1270" s="2">
        <f t="shared" si="39"/>
        <v>21</v>
      </c>
      <c r="E1270" s="4" t="str" cm="1">
        <f t="array" ref="E1270">_xlfn.IFS(
D1270&lt;=5,"Newcomer",
D1270&lt;=10,"Proficient",
D1270&gt;10,"Expert"
)</f>
        <v>Expert</v>
      </c>
      <c r="F1270" s="2" t="s">
        <v>80</v>
      </c>
      <c r="G1270" s="5" t="s">
        <v>62</v>
      </c>
      <c r="H1270" s="5" t="s">
        <v>63</v>
      </c>
      <c r="I1270" s="2">
        <v>7</v>
      </c>
      <c r="J1270" s="2" t="s">
        <v>24</v>
      </c>
      <c r="K1270" s="2" t="s">
        <v>25</v>
      </c>
      <c r="L1270" s="2" t="s">
        <v>96</v>
      </c>
      <c r="M1270" s="4" t="str">
        <f t="shared" si="38"/>
        <v>Involuntary</v>
      </c>
      <c r="N1270" s="23" t="s">
        <v>26</v>
      </c>
    </row>
    <row r="1271" spans="1:14" x14ac:dyDescent="0.25">
      <c r="A1271" s="22">
        <v>7111</v>
      </c>
      <c r="B1271" s="3">
        <v>41419</v>
      </c>
      <c r="C1271" s="3">
        <v>43930</v>
      </c>
      <c r="D1271" s="2">
        <f t="shared" si="39"/>
        <v>7</v>
      </c>
      <c r="E1271" s="4" t="str" cm="1">
        <f t="array" ref="E1271">_xlfn.IFS(
D1271&lt;=5,"Newcomer",
D1271&lt;=10,"Proficient",
D1271&gt;10,"Expert"
)</f>
        <v>Proficient</v>
      </c>
      <c r="F1271" s="2" t="s">
        <v>21</v>
      </c>
      <c r="G1271" s="5" t="s">
        <v>62</v>
      </c>
      <c r="H1271" s="5" t="s">
        <v>63</v>
      </c>
      <c r="I1271" s="2">
        <v>19</v>
      </c>
      <c r="J1271" s="2" t="s">
        <v>24</v>
      </c>
      <c r="K1271" s="2" t="s">
        <v>25</v>
      </c>
      <c r="L1271" s="2" t="s">
        <v>50</v>
      </c>
      <c r="M1271" s="4" t="str">
        <f t="shared" si="38"/>
        <v>Voluntary</v>
      </c>
      <c r="N1271" s="23" t="s">
        <v>26</v>
      </c>
    </row>
    <row r="1272" spans="1:14" x14ac:dyDescent="0.25">
      <c r="A1272" s="22">
        <v>7122</v>
      </c>
      <c r="B1272" s="3">
        <v>39359</v>
      </c>
      <c r="C1272" s="3">
        <v>44063</v>
      </c>
      <c r="D1272" s="2">
        <f t="shared" si="39"/>
        <v>13</v>
      </c>
      <c r="E1272" s="4" t="str" cm="1">
        <f t="array" ref="E1272">_xlfn.IFS(
D1272&lt;=5,"Newcomer",
D1272&lt;=10,"Proficient",
D1272&gt;10,"Expert"
)</f>
        <v>Expert</v>
      </c>
      <c r="F1272" s="2" t="s">
        <v>100</v>
      </c>
      <c r="G1272" s="5" t="s">
        <v>67</v>
      </c>
      <c r="H1272" s="5" t="s">
        <v>113</v>
      </c>
      <c r="I1272" s="2">
        <v>13</v>
      </c>
      <c r="J1272" s="2" t="s">
        <v>17</v>
      </c>
      <c r="K1272" s="2" t="s">
        <v>18</v>
      </c>
      <c r="L1272" s="2" t="s">
        <v>96</v>
      </c>
      <c r="M1272" s="4" t="str">
        <f t="shared" si="38"/>
        <v>Involuntary</v>
      </c>
      <c r="N1272" s="23" t="s">
        <v>26</v>
      </c>
    </row>
    <row r="1273" spans="1:14" x14ac:dyDescent="0.25">
      <c r="A1273" s="22">
        <v>7123</v>
      </c>
      <c r="B1273" s="3">
        <v>35506</v>
      </c>
      <c r="C1273" s="3">
        <v>44073</v>
      </c>
      <c r="D1273" s="2">
        <f t="shared" si="39"/>
        <v>23</v>
      </c>
      <c r="E1273" s="4" t="str" cm="1">
        <f t="array" ref="E1273">_xlfn.IFS(
D1273&lt;=5,"Newcomer",
D1273&lt;=10,"Proficient",
D1273&gt;10,"Expert"
)</f>
        <v>Expert</v>
      </c>
      <c r="F1273" s="2" t="s">
        <v>53</v>
      </c>
      <c r="G1273" s="5" t="s">
        <v>67</v>
      </c>
      <c r="H1273" s="5" t="s">
        <v>113</v>
      </c>
      <c r="I1273" s="2">
        <v>31</v>
      </c>
      <c r="J1273" s="2" t="s">
        <v>24</v>
      </c>
      <c r="K1273" s="2" t="s">
        <v>25</v>
      </c>
      <c r="L1273" s="2" t="s">
        <v>50</v>
      </c>
      <c r="M1273" s="4" t="str">
        <f t="shared" si="38"/>
        <v>Voluntary</v>
      </c>
      <c r="N1273" s="23" t="s">
        <v>26</v>
      </c>
    </row>
    <row r="1274" spans="1:14" x14ac:dyDescent="0.25">
      <c r="A1274" s="22">
        <v>7124</v>
      </c>
      <c r="B1274" s="3">
        <v>34466</v>
      </c>
      <c r="C1274" s="3">
        <v>43866</v>
      </c>
      <c r="D1274" s="2">
        <f t="shared" si="39"/>
        <v>26</v>
      </c>
      <c r="E1274" s="4" t="str" cm="1">
        <f t="array" ref="E1274">_xlfn.IFS(
D1274&lt;=5,"Newcomer",
D1274&lt;=10,"Proficient",
D1274&gt;10,"Expert"
)</f>
        <v>Expert</v>
      </c>
      <c r="F1274" s="2" t="s">
        <v>78</v>
      </c>
      <c r="G1274" s="5" t="s">
        <v>67</v>
      </c>
      <c r="H1274" s="5" t="s">
        <v>113</v>
      </c>
      <c r="I1274" s="2">
        <v>21</v>
      </c>
      <c r="J1274" s="2" t="s">
        <v>24</v>
      </c>
      <c r="K1274" s="2" t="s">
        <v>25</v>
      </c>
      <c r="L1274" s="2" t="s">
        <v>50</v>
      </c>
      <c r="M1274" s="4" t="str">
        <f t="shared" si="38"/>
        <v>Voluntary</v>
      </c>
      <c r="N1274" s="23" t="s">
        <v>26</v>
      </c>
    </row>
    <row r="1275" spans="1:14" x14ac:dyDescent="0.25">
      <c r="A1275" s="22">
        <v>7125</v>
      </c>
      <c r="B1275" s="3">
        <v>41083</v>
      </c>
      <c r="C1275" s="3">
        <v>44173</v>
      </c>
      <c r="D1275" s="2">
        <f t="shared" si="39"/>
        <v>8</v>
      </c>
      <c r="E1275" s="4" t="str" cm="1">
        <f t="array" ref="E1275">_xlfn.IFS(
D1275&lt;=5,"Newcomer",
D1275&lt;=10,"Proficient",
D1275&gt;10,"Expert"
)</f>
        <v>Proficient</v>
      </c>
      <c r="F1275" s="2" t="s">
        <v>107</v>
      </c>
      <c r="G1275" s="5" t="s">
        <v>71</v>
      </c>
      <c r="H1275" s="5" t="s">
        <v>116</v>
      </c>
      <c r="I1275" s="2">
        <v>11</v>
      </c>
      <c r="J1275" s="2" t="s">
        <v>24</v>
      </c>
      <c r="K1275" s="2" t="s">
        <v>25</v>
      </c>
      <c r="L1275" s="2" t="s">
        <v>96</v>
      </c>
      <c r="M1275" s="4" t="str">
        <f t="shared" si="38"/>
        <v>Involuntary</v>
      </c>
      <c r="N1275" s="23" t="s">
        <v>26</v>
      </c>
    </row>
    <row r="1276" spans="1:14" x14ac:dyDescent="0.25">
      <c r="A1276" s="22">
        <v>7127</v>
      </c>
      <c r="B1276" s="3">
        <v>38386</v>
      </c>
      <c r="C1276" s="3">
        <v>43832</v>
      </c>
      <c r="D1276" s="2">
        <f t="shared" si="39"/>
        <v>15</v>
      </c>
      <c r="E1276" s="4" t="str" cm="1">
        <f t="array" ref="E1276">_xlfn.IFS(
D1276&lt;=5,"Newcomer",
D1276&lt;=10,"Proficient",
D1276&gt;10,"Expert"
)</f>
        <v>Expert</v>
      </c>
      <c r="F1276" s="2" t="s">
        <v>14</v>
      </c>
      <c r="G1276" s="5" t="s">
        <v>35</v>
      </c>
      <c r="H1276" s="5" t="s">
        <v>76</v>
      </c>
      <c r="I1276" s="2">
        <v>44</v>
      </c>
      <c r="J1276" s="2" t="s">
        <v>24</v>
      </c>
      <c r="K1276" s="2" t="s">
        <v>25</v>
      </c>
      <c r="L1276" s="2" t="s">
        <v>50</v>
      </c>
      <c r="M1276" s="4" t="str">
        <f t="shared" si="38"/>
        <v>Voluntary</v>
      </c>
      <c r="N1276" s="23" t="s">
        <v>26</v>
      </c>
    </row>
    <row r="1277" spans="1:14" x14ac:dyDescent="0.25">
      <c r="A1277" s="22">
        <v>7128</v>
      </c>
      <c r="B1277" s="3">
        <v>35556</v>
      </c>
      <c r="C1277" s="3">
        <v>44003</v>
      </c>
      <c r="D1277" s="2">
        <f t="shared" si="39"/>
        <v>23</v>
      </c>
      <c r="E1277" s="4" t="str" cm="1">
        <f t="array" ref="E1277">_xlfn.IFS(
D1277&lt;=5,"Newcomer",
D1277&lt;=10,"Proficient",
D1277&gt;10,"Expert"
)</f>
        <v>Expert</v>
      </c>
      <c r="F1277" s="2" t="s">
        <v>78</v>
      </c>
      <c r="G1277" s="5" t="s">
        <v>67</v>
      </c>
      <c r="H1277" s="5" t="s">
        <v>113</v>
      </c>
      <c r="I1277" s="2">
        <v>21</v>
      </c>
      <c r="J1277" s="2" t="s">
        <v>24</v>
      </c>
      <c r="K1277" s="2" t="s">
        <v>25</v>
      </c>
      <c r="L1277" s="2" t="s">
        <v>50</v>
      </c>
      <c r="M1277" s="4" t="str">
        <f t="shared" si="38"/>
        <v>Voluntary</v>
      </c>
      <c r="N1277" s="23" t="s">
        <v>26</v>
      </c>
    </row>
    <row r="1278" spans="1:14" x14ac:dyDescent="0.25">
      <c r="A1278" s="22">
        <v>7129</v>
      </c>
      <c r="B1278" s="3">
        <v>38296</v>
      </c>
      <c r="C1278" s="3">
        <v>43889</v>
      </c>
      <c r="D1278" s="2">
        <f t="shared" si="39"/>
        <v>16</v>
      </c>
      <c r="E1278" s="4" t="str" cm="1">
        <f t="array" ref="E1278">_xlfn.IFS(
D1278&lt;=5,"Newcomer",
D1278&lt;=10,"Proficient",
D1278&gt;10,"Expert"
)</f>
        <v>Expert</v>
      </c>
      <c r="F1278" s="2" t="s">
        <v>30</v>
      </c>
      <c r="G1278" s="5" t="s">
        <v>62</v>
      </c>
      <c r="H1278" s="5" t="s">
        <v>63</v>
      </c>
      <c r="I1278" s="2">
        <v>46</v>
      </c>
      <c r="J1278" s="2" t="s">
        <v>24</v>
      </c>
      <c r="K1278" s="2" t="s">
        <v>25</v>
      </c>
      <c r="L1278" s="2" t="s">
        <v>50</v>
      </c>
      <c r="M1278" s="4" t="str">
        <f t="shared" si="38"/>
        <v>Voluntary</v>
      </c>
      <c r="N1278" s="23" t="s">
        <v>26</v>
      </c>
    </row>
    <row r="1279" spans="1:14" x14ac:dyDescent="0.25">
      <c r="A1279" s="22">
        <v>7130</v>
      </c>
      <c r="B1279" s="3">
        <v>38489</v>
      </c>
      <c r="C1279" s="3">
        <v>43891</v>
      </c>
      <c r="D1279" s="2">
        <f t="shared" si="39"/>
        <v>15</v>
      </c>
      <c r="E1279" s="4" t="str" cm="1">
        <f t="array" ref="E1279">_xlfn.IFS(
D1279&lt;=5,"Newcomer",
D1279&lt;=10,"Proficient",
D1279&gt;10,"Expert"
)</f>
        <v>Expert</v>
      </c>
      <c r="F1279" s="2" t="s">
        <v>44</v>
      </c>
      <c r="G1279" s="5" t="s">
        <v>71</v>
      </c>
      <c r="H1279" s="5" t="s">
        <v>116</v>
      </c>
      <c r="I1279" s="2">
        <v>18</v>
      </c>
      <c r="J1279" s="2" t="s">
        <v>24</v>
      </c>
      <c r="K1279" s="2" t="s">
        <v>25</v>
      </c>
      <c r="L1279" s="2" t="s">
        <v>50</v>
      </c>
      <c r="M1279" s="4" t="str">
        <f t="shared" si="38"/>
        <v>Voluntary</v>
      </c>
      <c r="N1279" s="23" t="s">
        <v>26</v>
      </c>
    </row>
    <row r="1280" spans="1:14" x14ac:dyDescent="0.25">
      <c r="A1280" s="22">
        <v>7131</v>
      </c>
      <c r="B1280" s="3">
        <v>36831</v>
      </c>
      <c r="C1280" s="3">
        <v>44160</v>
      </c>
      <c r="D1280" s="2">
        <f t="shared" si="39"/>
        <v>20</v>
      </c>
      <c r="E1280" s="4" t="str" cm="1">
        <f t="array" ref="E1280">_xlfn.IFS(
D1280&lt;=5,"Newcomer",
D1280&lt;=10,"Proficient",
D1280&gt;10,"Expert"
)</f>
        <v>Expert</v>
      </c>
      <c r="F1280" s="2" t="s">
        <v>107</v>
      </c>
      <c r="G1280" s="5" t="s">
        <v>71</v>
      </c>
      <c r="H1280" s="5" t="s">
        <v>116</v>
      </c>
      <c r="I1280" s="2">
        <v>11</v>
      </c>
      <c r="J1280" s="2" t="s">
        <v>17</v>
      </c>
      <c r="K1280" s="2" t="s">
        <v>18</v>
      </c>
      <c r="L1280" s="2" t="s">
        <v>96</v>
      </c>
      <c r="M1280" s="4" t="str">
        <f t="shared" si="38"/>
        <v>Involuntary</v>
      </c>
      <c r="N1280" s="23" t="s">
        <v>26</v>
      </c>
    </row>
    <row r="1281" spans="1:14" x14ac:dyDescent="0.25">
      <c r="A1281" s="22">
        <v>7135</v>
      </c>
      <c r="B1281" s="3">
        <v>37450</v>
      </c>
      <c r="C1281" s="3">
        <v>44114</v>
      </c>
      <c r="D1281" s="2">
        <f t="shared" si="39"/>
        <v>18</v>
      </c>
      <c r="E1281" s="4" t="str" cm="1">
        <f t="array" ref="E1281">_xlfn.IFS(
D1281&lt;=5,"Newcomer",
D1281&lt;=10,"Proficient",
D1281&gt;10,"Expert"
)</f>
        <v>Expert</v>
      </c>
      <c r="F1281" s="2" t="s">
        <v>41</v>
      </c>
      <c r="G1281" s="5" t="s">
        <v>67</v>
      </c>
      <c r="H1281" s="5" t="s">
        <v>113</v>
      </c>
      <c r="I1281" s="2">
        <v>15</v>
      </c>
      <c r="J1281" s="2" t="s">
        <v>24</v>
      </c>
      <c r="K1281" s="2" t="s">
        <v>25</v>
      </c>
      <c r="L1281" s="2" t="s">
        <v>50</v>
      </c>
      <c r="M1281" s="4" t="str">
        <f t="shared" si="38"/>
        <v>Voluntary</v>
      </c>
      <c r="N1281" s="23" t="s">
        <v>26</v>
      </c>
    </row>
    <row r="1282" spans="1:14" x14ac:dyDescent="0.25">
      <c r="A1282" s="22">
        <v>7136</v>
      </c>
      <c r="B1282" s="3">
        <v>37829</v>
      </c>
      <c r="C1282" s="3">
        <v>43936</v>
      </c>
      <c r="D1282" s="2">
        <f t="shared" si="39"/>
        <v>17</v>
      </c>
      <c r="E1282" s="4" t="str" cm="1">
        <f t="array" ref="E1282">_xlfn.IFS(
D1282&lt;=5,"Newcomer",
D1282&lt;=10,"Proficient",
D1282&gt;10,"Expert"
)</f>
        <v>Expert</v>
      </c>
      <c r="F1282" s="2" t="s">
        <v>30</v>
      </c>
      <c r="G1282" s="5" t="s">
        <v>62</v>
      </c>
      <c r="H1282" s="5" t="s">
        <v>63</v>
      </c>
      <c r="I1282" s="2">
        <v>46</v>
      </c>
      <c r="J1282" s="2" t="s">
        <v>24</v>
      </c>
      <c r="K1282" s="2" t="s">
        <v>25</v>
      </c>
      <c r="L1282" s="2" t="s">
        <v>50</v>
      </c>
      <c r="M1282" s="4" t="str">
        <f t="shared" ref="M1282:M1345" si="40">IF(OR(L1282="Retirement",L1282="Resignation"),"Voluntary","Involuntary")</f>
        <v>Voluntary</v>
      </c>
      <c r="N1282" s="23" t="s">
        <v>26</v>
      </c>
    </row>
    <row r="1283" spans="1:14" x14ac:dyDescent="0.25">
      <c r="A1283" s="22">
        <v>7137</v>
      </c>
      <c r="B1283" s="3">
        <v>39437</v>
      </c>
      <c r="C1283" s="3">
        <v>43841</v>
      </c>
      <c r="D1283" s="2">
        <f t="shared" ref="D1283:D1346" si="41">YEAR(C1283)-YEAR(B1283)</f>
        <v>13</v>
      </c>
      <c r="E1283" s="4" t="str" cm="1">
        <f t="array" ref="E1283">_xlfn.IFS(
D1283&lt;=5,"Newcomer",
D1283&lt;=10,"Proficient",
D1283&gt;10,"Expert"
)</f>
        <v>Expert</v>
      </c>
      <c r="F1283" s="2" t="s">
        <v>69</v>
      </c>
      <c r="G1283" s="5" t="s">
        <v>71</v>
      </c>
      <c r="H1283" s="5" t="s">
        <v>116</v>
      </c>
      <c r="I1283" s="2">
        <v>28</v>
      </c>
      <c r="J1283" s="2" t="s">
        <v>24</v>
      </c>
      <c r="K1283" s="2" t="s">
        <v>25</v>
      </c>
      <c r="L1283" s="2" t="s">
        <v>50</v>
      </c>
      <c r="M1283" s="4" t="str">
        <f t="shared" si="40"/>
        <v>Voluntary</v>
      </c>
      <c r="N1283" s="23" t="s">
        <v>26</v>
      </c>
    </row>
    <row r="1284" spans="1:14" x14ac:dyDescent="0.25">
      <c r="A1284" s="22">
        <v>7138</v>
      </c>
      <c r="B1284" s="3">
        <v>33783</v>
      </c>
      <c r="C1284" s="3">
        <v>44054</v>
      </c>
      <c r="D1284" s="2">
        <f t="shared" si="41"/>
        <v>28</v>
      </c>
      <c r="E1284" s="4" t="str" cm="1">
        <f t="array" ref="E1284">_xlfn.IFS(
D1284&lt;=5,"Newcomer",
D1284&lt;=10,"Proficient",
D1284&gt;10,"Expert"
)</f>
        <v>Expert</v>
      </c>
      <c r="F1284" s="2" t="s">
        <v>14</v>
      </c>
      <c r="G1284" s="5" t="s">
        <v>35</v>
      </c>
      <c r="H1284" s="5" t="s">
        <v>76</v>
      </c>
      <c r="I1284" s="2">
        <v>44</v>
      </c>
      <c r="J1284" s="2" t="s">
        <v>24</v>
      </c>
      <c r="K1284" s="2" t="s">
        <v>25</v>
      </c>
      <c r="L1284" s="2" t="s">
        <v>50</v>
      </c>
      <c r="M1284" s="4" t="str">
        <f t="shared" si="40"/>
        <v>Voluntary</v>
      </c>
      <c r="N1284" s="23" t="s">
        <v>26</v>
      </c>
    </row>
    <row r="1285" spans="1:14" x14ac:dyDescent="0.25">
      <c r="A1285" s="22">
        <v>7140</v>
      </c>
      <c r="B1285" s="3">
        <v>40510</v>
      </c>
      <c r="C1285" s="3">
        <v>44091</v>
      </c>
      <c r="D1285" s="2">
        <f t="shared" si="41"/>
        <v>10</v>
      </c>
      <c r="E1285" s="4" t="str" cm="1">
        <f t="array" ref="E1285">_xlfn.IFS(
D1285&lt;=5,"Newcomer",
D1285&lt;=10,"Proficient",
D1285&gt;10,"Expert"
)</f>
        <v>Proficient</v>
      </c>
      <c r="F1285" s="2" t="s">
        <v>102</v>
      </c>
      <c r="G1285" s="5" t="s">
        <v>62</v>
      </c>
      <c r="H1285" s="5" t="s">
        <v>63</v>
      </c>
      <c r="I1285" s="2">
        <v>1</v>
      </c>
      <c r="J1285" s="2" t="s">
        <v>24</v>
      </c>
      <c r="K1285" s="2" t="s">
        <v>25</v>
      </c>
      <c r="L1285" s="2" t="s">
        <v>50</v>
      </c>
      <c r="M1285" s="4" t="str">
        <f t="shared" si="40"/>
        <v>Voluntary</v>
      </c>
      <c r="N1285" s="23" t="s">
        <v>26</v>
      </c>
    </row>
    <row r="1286" spans="1:14" x14ac:dyDescent="0.25">
      <c r="A1286" s="22">
        <v>7142</v>
      </c>
      <c r="B1286" s="3">
        <v>32884</v>
      </c>
      <c r="C1286" s="3">
        <v>43869</v>
      </c>
      <c r="D1286" s="2">
        <f t="shared" si="41"/>
        <v>30</v>
      </c>
      <c r="E1286" s="4" t="str" cm="1">
        <f t="array" ref="E1286">_xlfn.IFS(
D1286&lt;=5,"Newcomer",
D1286&lt;=10,"Proficient",
D1286&gt;10,"Expert"
)</f>
        <v>Expert</v>
      </c>
      <c r="F1286" s="2" t="s">
        <v>104</v>
      </c>
      <c r="G1286" s="5" t="s">
        <v>71</v>
      </c>
      <c r="H1286" s="5" t="s">
        <v>116</v>
      </c>
      <c r="I1286" s="2">
        <v>39</v>
      </c>
      <c r="J1286" s="2" t="s">
        <v>17</v>
      </c>
      <c r="K1286" s="2" t="s">
        <v>18</v>
      </c>
      <c r="L1286" s="2" t="s">
        <v>96</v>
      </c>
      <c r="M1286" s="4" t="str">
        <f t="shared" si="40"/>
        <v>Involuntary</v>
      </c>
      <c r="N1286" s="23" t="s">
        <v>26</v>
      </c>
    </row>
    <row r="1287" spans="1:14" x14ac:dyDescent="0.25">
      <c r="A1287" s="22">
        <v>7146</v>
      </c>
      <c r="B1287" s="3">
        <v>33674</v>
      </c>
      <c r="C1287" s="3">
        <v>43852</v>
      </c>
      <c r="D1287" s="2">
        <f t="shared" si="41"/>
        <v>28</v>
      </c>
      <c r="E1287" s="4" t="str" cm="1">
        <f t="array" ref="E1287">_xlfn.IFS(
D1287&lt;=5,"Newcomer",
D1287&lt;=10,"Proficient",
D1287&gt;10,"Expert"
)</f>
        <v>Expert</v>
      </c>
      <c r="F1287" s="2" t="s">
        <v>110</v>
      </c>
      <c r="G1287" s="5" t="s">
        <v>62</v>
      </c>
      <c r="H1287" s="5" t="s">
        <v>63</v>
      </c>
      <c r="I1287" s="2">
        <v>34</v>
      </c>
      <c r="J1287" s="2" t="s">
        <v>17</v>
      </c>
      <c r="K1287" s="2" t="s">
        <v>18</v>
      </c>
      <c r="L1287" s="2" t="s">
        <v>96</v>
      </c>
      <c r="M1287" s="4" t="str">
        <f t="shared" si="40"/>
        <v>Involuntary</v>
      </c>
      <c r="N1287" s="23" t="s">
        <v>26</v>
      </c>
    </row>
    <row r="1288" spans="1:14" x14ac:dyDescent="0.25">
      <c r="A1288" s="22">
        <v>7175</v>
      </c>
      <c r="B1288" s="3">
        <v>36912</v>
      </c>
      <c r="C1288" s="3">
        <v>44073</v>
      </c>
      <c r="D1288" s="2">
        <f t="shared" si="41"/>
        <v>19</v>
      </c>
      <c r="E1288" s="4" t="str" cm="1">
        <f t="array" ref="E1288">_xlfn.IFS(
D1288&lt;=5,"Newcomer",
D1288&lt;=10,"Proficient",
D1288&gt;10,"Expert"
)</f>
        <v>Expert</v>
      </c>
      <c r="F1288" s="2" t="s">
        <v>14</v>
      </c>
      <c r="G1288" s="5" t="s">
        <v>35</v>
      </c>
      <c r="H1288" s="5" t="s">
        <v>76</v>
      </c>
      <c r="I1288" s="2">
        <v>44</v>
      </c>
      <c r="J1288" s="2" t="s">
        <v>17</v>
      </c>
      <c r="K1288" s="2" t="s">
        <v>18</v>
      </c>
      <c r="L1288" s="2" t="s">
        <v>50</v>
      </c>
      <c r="M1288" s="4" t="str">
        <f t="shared" si="40"/>
        <v>Voluntary</v>
      </c>
      <c r="N1288" s="23" t="s">
        <v>26</v>
      </c>
    </row>
    <row r="1289" spans="1:14" x14ac:dyDescent="0.25">
      <c r="A1289" s="22">
        <v>7194</v>
      </c>
      <c r="B1289" s="3">
        <v>38785</v>
      </c>
      <c r="C1289" s="3">
        <v>43955</v>
      </c>
      <c r="D1289" s="2">
        <f t="shared" si="41"/>
        <v>14</v>
      </c>
      <c r="E1289" s="4" t="str" cm="1">
        <f t="array" ref="E1289">_xlfn.IFS(
D1289&lt;=5,"Newcomer",
D1289&lt;=10,"Proficient",
D1289&gt;10,"Expert"
)</f>
        <v>Expert</v>
      </c>
      <c r="F1289" s="2" t="s">
        <v>106</v>
      </c>
      <c r="G1289" s="5" t="s">
        <v>62</v>
      </c>
      <c r="H1289" s="5" t="s">
        <v>63</v>
      </c>
      <c r="I1289" s="2">
        <v>20</v>
      </c>
      <c r="J1289" s="2" t="s">
        <v>24</v>
      </c>
      <c r="K1289" s="2" t="s">
        <v>25</v>
      </c>
      <c r="L1289" s="2" t="s">
        <v>96</v>
      </c>
      <c r="M1289" s="4" t="str">
        <f t="shared" si="40"/>
        <v>Involuntary</v>
      </c>
      <c r="N1289" s="23" t="s">
        <v>26</v>
      </c>
    </row>
    <row r="1290" spans="1:14" x14ac:dyDescent="0.25">
      <c r="A1290" s="22">
        <v>7207</v>
      </c>
      <c r="B1290" s="3">
        <v>33340</v>
      </c>
      <c r="C1290" s="3">
        <v>43895</v>
      </c>
      <c r="D1290" s="2">
        <f t="shared" si="41"/>
        <v>29</v>
      </c>
      <c r="E1290" s="4" t="str" cm="1">
        <f t="array" ref="E1290">_xlfn.IFS(
D1290&lt;=5,"Newcomer",
D1290&lt;=10,"Proficient",
D1290&gt;10,"Expert"
)</f>
        <v>Expert</v>
      </c>
      <c r="F1290" s="2" t="s">
        <v>78</v>
      </c>
      <c r="G1290" s="5" t="s">
        <v>67</v>
      </c>
      <c r="H1290" s="5" t="s">
        <v>113</v>
      </c>
      <c r="I1290" s="2">
        <v>21</v>
      </c>
      <c r="J1290" s="2" t="s">
        <v>24</v>
      </c>
      <c r="K1290" s="2" t="s">
        <v>25</v>
      </c>
      <c r="L1290" s="2" t="s">
        <v>50</v>
      </c>
      <c r="M1290" s="4" t="str">
        <f t="shared" si="40"/>
        <v>Voluntary</v>
      </c>
      <c r="N1290" s="23" t="s">
        <v>26</v>
      </c>
    </row>
    <row r="1291" spans="1:14" x14ac:dyDescent="0.25">
      <c r="A1291" s="22">
        <v>7218</v>
      </c>
      <c r="B1291" s="3">
        <v>41165</v>
      </c>
      <c r="C1291" s="3">
        <v>43932</v>
      </c>
      <c r="D1291" s="2">
        <f t="shared" si="41"/>
        <v>8</v>
      </c>
      <c r="E1291" s="4" t="str" cm="1">
        <f t="array" ref="E1291">_xlfn.IFS(
D1291&lt;=5,"Newcomer",
D1291&lt;=10,"Proficient",
D1291&gt;10,"Expert"
)</f>
        <v>Proficient</v>
      </c>
      <c r="F1291" s="2" t="s">
        <v>106</v>
      </c>
      <c r="G1291" s="5" t="s">
        <v>62</v>
      </c>
      <c r="H1291" s="5" t="s">
        <v>63</v>
      </c>
      <c r="I1291" s="2">
        <v>20</v>
      </c>
      <c r="J1291" s="2" t="s">
        <v>17</v>
      </c>
      <c r="K1291" s="2" t="s">
        <v>18</v>
      </c>
      <c r="L1291" s="2" t="s">
        <v>96</v>
      </c>
      <c r="M1291" s="4" t="str">
        <f t="shared" si="40"/>
        <v>Involuntary</v>
      </c>
      <c r="N1291" s="23" t="s">
        <v>26</v>
      </c>
    </row>
    <row r="1292" spans="1:14" x14ac:dyDescent="0.25">
      <c r="A1292" s="22">
        <v>7219</v>
      </c>
      <c r="B1292" s="3">
        <v>36847</v>
      </c>
      <c r="C1292" s="3">
        <v>44025</v>
      </c>
      <c r="D1292" s="2">
        <f t="shared" si="41"/>
        <v>20</v>
      </c>
      <c r="E1292" s="4" t="str" cm="1">
        <f t="array" ref="E1292">_xlfn.IFS(
D1292&lt;=5,"Newcomer",
D1292&lt;=10,"Proficient",
D1292&gt;10,"Expert"
)</f>
        <v>Expert</v>
      </c>
      <c r="F1292" s="2" t="s">
        <v>108</v>
      </c>
      <c r="G1292" s="5" t="s">
        <v>71</v>
      </c>
      <c r="H1292" s="5" t="s">
        <v>116</v>
      </c>
      <c r="I1292" s="2">
        <v>14</v>
      </c>
      <c r="J1292" s="2" t="s">
        <v>17</v>
      </c>
      <c r="K1292" s="2" t="s">
        <v>18</v>
      </c>
      <c r="L1292" s="2" t="s">
        <v>96</v>
      </c>
      <c r="M1292" s="4" t="str">
        <f t="shared" si="40"/>
        <v>Involuntary</v>
      </c>
      <c r="N1292" s="23" t="s">
        <v>26</v>
      </c>
    </row>
    <row r="1293" spans="1:14" x14ac:dyDescent="0.25">
      <c r="A1293" s="22">
        <v>7247</v>
      </c>
      <c r="B1293" s="3">
        <v>35394</v>
      </c>
      <c r="C1293" s="3">
        <v>44124</v>
      </c>
      <c r="D1293" s="2">
        <f t="shared" si="41"/>
        <v>24</v>
      </c>
      <c r="E1293" s="4" t="str" cm="1">
        <f t="array" ref="E1293">_xlfn.IFS(
D1293&lt;=5,"Newcomer",
D1293&lt;=10,"Proficient",
D1293&gt;10,"Expert"
)</f>
        <v>Expert</v>
      </c>
      <c r="F1293" s="2" t="s">
        <v>90</v>
      </c>
      <c r="G1293" s="5" t="s">
        <v>71</v>
      </c>
      <c r="H1293" s="5" t="s">
        <v>116</v>
      </c>
      <c r="I1293" s="2">
        <v>26</v>
      </c>
      <c r="J1293" s="2" t="s">
        <v>17</v>
      </c>
      <c r="K1293" s="2" t="s">
        <v>18</v>
      </c>
      <c r="L1293" s="2" t="s">
        <v>50</v>
      </c>
      <c r="M1293" s="4" t="str">
        <f t="shared" si="40"/>
        <v>Voluntary</v>
      </c>
      <c r="N1293" s="23" t="s">
        <v>26</v>
      </c>
    </row>
    <row r="1294" spans="1:14" x14ac:dyDescent="0.25">
      <c r="A1294" s="22">
        <v>7249</v>
      </c>
      <c r="B1294" s="3">
        <v>36549</v>
      </c>
      <c r="C1294" s="3">
        <v>44154</v>
      </c>
      <c r="D1294" s="2">
        <f t="shared" si="41"/>
        <v>20</v>
      </c>
      <c r="E1294" s="4" t="str" cm="1">
        <f t="array" ref="E1294">_xlfn.IFS(
D1294&lt;=5,"Newcomer",
D1294&lt;=10,"Proficient",
D1294&gt;10,"Expert"
)</f>
        <v>Expert</v>
      </c>
      <c r="F1294" s="2" t="s">
        <v>100</v>
      </c>
      <c r="G1294" s="5" t="s">
        <v>67</v>
      </c>
      <c r="H1294" s="5" t="s">
        <v>113</v>
      </c>
      <c r="I1294" s="2">
        <v>13</v>
      </c>
      <c r="J1294" s="2" t="s">
        <v>24</v>
      </c>
      <c r="K1294" s="2" t="s">
        <v>25</v>
      </c>
      <c r="L1294" s="2" t="s">
        <v>96</v>
      </c>
      <c r="M1294" s="4" t="str">
        <f t="shared" si="40"/>
        <v>Involuntary</v>
      </c>
      <c r="N1294" s="23" t="s">
        <v>26</v>
      </c>
    </row>
    <row r="1295" spans="1:14" x14ac:dyDescent="0.25">
      <c r="A1295" s="22">
        <v>7251</v>
      </c>
      <c r="B1295" s="3">
        <v>35443</v>
      </c>
      <c r="C1295" s="3">
        <v>43954</v>
      </c>
      <c r="D1295" s="2">
        <f t="shared" si="41"/>
        <v>23</v>
      </c>
      <c r="E1295" s="4" t="str" cm="1">
        <f t="array" ref="E1295">_xlfn.IFS(
D1295&lt;=5,"Newcomer",
D1295&lt;=10,"Proficient",
D1295&gt;10,"Expert"
)</f>
        <v>Expert</v>
      </c>
      <c r="F1295" s="2" t="s">
        <v>112</v>
      </c>
      <c r="G1295" s="5" t="s">
        <v>62</v>
      </c>
      <c r="H1295" s="5" t="s">
        <v>63</v>
      </c>
      <c r="I1295" s="2">
        <v>24</v>
      </c>
      <c r="J1295" s="2" t="s">
        <v>17</v>
      </c>
      <c r="K1295" s="2" t="s">
        <v>18</v>
      </c>
      <c r="L1295" s="2" t="s">
        <v>96</v>
      </c>
      <c r="M1295" s="4" t="str">
        <f t="shared" si="40"/>
        <v>Involuntary</v>
      </c>
      <c r="N1295" s="23" t="s">
        <v>26</v>
      </c>
    </row>
    <row r="1296" spans="1:14" x14ac:dyDescent="0.25">
      <c r="A1296" s="22">
        <v>7253</v>
      </c>
      <c r="B1296" s="3">
        <v>36002</v>
      </c>
      <c r="C1296" s="3">
        <v>44168</v>
      </c>
      <c r="D1296" s="2">
        <f t="shared" si="41"/>
        <v>22</v>
      </c>
      <c r="E1296" s="4" t="str" cm="1">
        <f t="array" ref="E1296">_xlfn.IFS(
D1296&lt;=5,"Newcomer",
D1296&lt;=10,"Proficient",
D1296&gt;10,"Expert"
)</f>
        <v>Expert</v>
      </c>
      <c r="F1296" s="2" t="s">
        <v>79</v>
      </c>
      <c r="G1296" s="5" t="s">
        <v>71</v>
      </c>
      <c r="H1296" s="5" t="s">
        <v>116</v>
      </c>
      <c r="I1296" s="2">
        <v>25</v>
      </c>
      <c r="J1296" s="2" t="s">
        <v>17</v>
      </c>
      <c r="K1296" s="2" t="s">
        <v>18</v>
      </c>
      <c r="L1296" s="2" t="s">
        <v>50</v>
      </c>
      <c r="M1296" s="4" t="str">
        <f t="shared" si="40"/>
        <v>Voluntary</v>
      </c>
      <c r="N1296" s="23" t="s">
        <v>26</v>
      </c>
    </row>
    <row r="1297" spans="1:14" x14ac:dyDescent="0.25">
      <c r="A1297" s="22">
        <v>7258</v>
      </c>
      <c r="B1297" s="3">
        <v>40937</v>
      </c>
      <c r="C1297" s="3">
        <v>43924</v>
      </c>
      <c r="D1297" s="2">
        <f t="shared" si="41"/>
        <v>8</v>
      </c>
      <c r="E1297" s="4" t="str" cm="1">
        <f t="array" ref="E1297">_xlfn.IFS(
D1297&lt;=5,"Newcomer",
D1297&lt;=10,"Proficient",
D1297&gt;10,"Expert"
)</f>
        <v>Proficient</v>
      </c>
      <c r="F1297" s="2" t="s">
        <v>73</v>
      </c>
      <c r="G1297" s="5" t="s">
        <v>71</v>
      </c>
      <c r="H1297" s="5" t="s">
        <v>116</v>
      </c>
      <c r="I1297" s="2">
        <v>32</v>
      </c>
      <c r="J1297" s="2" t="s">
        <v>17</v>
      </c>
      <c r="K1297" s="2" t="s">
        <v>18</v>
      </c>
      <c r="L1297" s="2" t="s">
        <v>50</v>
      </c>
      <c r="M1297" s="4" t="str">
        <f t="shared" si="40"/>
        <v>Voluntary</v>
      </c>
      <c r="N1297" s="23" t="s">
        <v>26</v>
      </c>
    </row>
    <row r="1298" spans="1:14" x14ac:dyDescent="0.25">
      <c r="A1298" s="22">
        <v>7260</v>
      </c>
      <c r="B1298" s="3">
        <v>41150</v>
      </c>
      <c r="C1298" s="3">
        <v>43887</v>
      </c>
      <c r="D1298" s="2">
        <f t="shared" si="41"/>
        <v>8</v>
      </c>
      <c r="E1298" s="4" t="str" cm="1">
        <f t="array" ref="E1298">_xlfn.IFS(
D1298&lt;=5,"Newcomer",
D1298&lt;=10,"Proficient",
D1298&gt;10,"Expert"
)</f>
        <v>Proficient</v>
      </c>
      <c r="F1298" s="2" t="s">
        <v>108</v>
      </c>
      <c r="G1298" s="5" t="s">
        <v>71</v>
      </c>
      <c r="H1298" s="5" t="s">
        <v>116</v>
      </c>
      <c r="I1298" s="2">
        <v>14</v>
      </c>
      <c r="J1298" s="2" t="s">
        <v>17</v>
      </c>
      <c r="K1298" s="2" t="s">
        <v>18</v>
      </c>
      <c r="L1298" s="2" t="s">
        <v>96</v>
      </c>
      <c r="M1298" s="4" t="str">
        <f t="shared" si="40"/>
        <v>Involuntary</v>
      </c>
      <c r="N1298" s="23" t="s">
        <v>26</v>
      </c>
    </row>
    <row r="1299" spans="1:14" x14ac:dyDescent="0.25">
      <c r="A1299" s="22">
        <v>7262</v>
      </c>
      <c r="B1299" s="3">
        <v>40043</v>
      </c>
      <c r="C1299" s="3">
        <v>43888</v>
      </c>
      <c r="D1299" s="2">
        <f t="shared" si="41"/>
        <v>11</v>
      </c>
      <c r="E1299" s="4" t="str" cm="1">
        <f t="array" ref="E1299">_xlfn.IFS(
D1299&lt;=5,"Newcomer",
D1299&lt;=10,"Proficient",
D1299&gt;10,"Expert"
)</f>
        <v>Expert</v>
      </c>
      <c r="F1299" s="2" t="s">
        <v>70</v>
      </c>
      <c r="G1299" s="5" t="s">
        <v>71</v>
      </c>
      <c r="H1299" s="5" t="s">
        <v>116</v>
      </c>
      <c r="I1299" s="2">
        <v>6</v>
      </c>
      <c r="J1299" s="2" t="s">
        <v>17</v>
      </c>
      <c r="K1299" s="2" t="s">
        <v>18</v>
      </c>
      <c r="L1299" s="2" t="s">
        <v>50</v>
      </c>
      <c r="M1299" s="4" t="str">
        <f t="shared" si="40"/>
        <v>Voluntary</v>
      </c>
      <c r="N1299" s="23" t="s">
        <v>26</v>
      </c>
    </row>
    <row r="1300" spans="1:14" x14ac:dyDescent="0.25">
      <c r="A1300" s="22">
        <v>7263</v>
      </c>
      <c r="B1300" s="3">
        <v>39944</v>
      </c>
      <c r="C1300" s="3">
        <v>44182</v>
      </c>
      <c r="D1300" s="2">
        <f t="shared" si="41"/>
        <v>11</v>
      </c>
      <c r="E1300" s="4" t="str" cm="1">
        <f t="array" ref="E1300">_xlfn.IFS(
D1300&lt;=5,"Newcomer",
D1300&lt;=10,"Proficient",
D1300&gt;10,"Expert"
)</f>
        <v>Expert</v>
      </c>
      <c r="F1300" s="2" t="s">
        <v>70</v>
      </c>
      <c r="G1300" s="5" t="s">
        <v>71</v>
      </c>
      <c r="H1300" s="5" t="s">
        <v>116</v>
      </c>
      <c r="I1300" s="2">
        <v>6</v>
      </c>
      <c r="J1300" s="2" t="s">
        <v>17</v>
      </c>
      <c r="K1300" s="2" t="s">
        <v>18</v>
      </c>
      <c r="L1300" s="2" t="s">
        <v>50</v>
      </c>
      <c r="M1300" s="4" t="str">
        <f t="shared" si="40"/>
        <v>Voluntary</v>
      </c>
      <c r="N1300" s="23" t="s">
        <v>26</v>
      </c>
    </row>
    <row r="1301" spans="1:14" x14ac:dyDescent="0.25">
      <c r="A1301" s="22">
        <v>7265</v>
      </c>
      <c r="B1301" s="3">
        <v>41105</v>
      </c>
      <c r="C1301" s="3">
        <v>43935</v>
      </c>
      <c r="D1301" s="2">
        <f t="shared" si="41"/>
        <v>8</v>
      </c>
      <c r="E1301" s="4" t="str" cm="1">
        <f t="array" ref="E1301">_xlfn.IFS(
D1301&lt;=5,"Newcomer",
D1301&lt;=10,"Proficient",
D1301&gt;10,"Expert"
)</f>
        <v>Proficient</v>
      </c>
      <c r="F1301" s="2" t="s">
        <v>87</v>
      </c>
      <c r="G1301" s="5" t="s">
        <v>71</v>
      </c>
      <c r="H1301" s="5" t="s">
        <v>116</v>
      </c>
      <c r="I1301" s="2">
        <v>40</v>
      </c>
      <c r="J1301" s="2" t="s">
        <v>17</v>
      </c>
      <c r="K1301" s="2" t="s">
        <v>18</v>
      </c>
      <c r="L1301" s="2" t="s">
        <v>50</v>
      </c>
      <c r="M1301" s="4" t="str">
        <f t="shared" si="40"/>
        <v>Voluntary</v>
      </c>
      <c r="N1301" s="23" t="s">
        <v>26</v>
      </c>
    </row>
    <row r="1302" spans="1:14" x14ac:dyDescent="0.25">
      <c r="A1302" s="22">
        <v>7268</v>
      </c>
      <c r="B1302" s="3">
        <v>32937</v>
      </c>
      <c r="C1302" s="3">
        <v>43957</v>
      </c>
      <c r="D1302" s="2">
        <f t="shared" si="41"/>
        <v>30</v>
      </c>
      <c r="E1302" s="4" t="str" cm="1">
        <f t="array" ref="E1302">_xlfn.IFS(
D1302&lt;=5,"Newcomer",
D1302&lt;=10,"Proficient",
D1302&gt;10,"Expert"
)</f>
        <v>Expert</v>
      </c>
      <c r="F1302" s="2" t="s">
        <v>66</v>
      </c>
      <c r="G1302" s="5" t="s">
        <v>71</v>
      </c>
      <c r="H1302" s="5" t="s">
        <v>116</v>
      </c>
      <c r="I1302" s="2">
        <v>36</v>
      </c>
      <c r="J1302" s="2" t="s">
        <v>17</v>
      </c>
      <c r="K1302" s="2" t="s">
        <v>18</v>
      </c>
      <c r="L1302" s="2" t="s">
        <v>50</v>
      </c>
      <c r="M1302" s="4" t="str">
        <f t="shared" si="40"/>
        <v>Voluntary</v>
      </c>
      <c r="N1302" s="23" t="s">
        <v>26</v>
      </c>
    </row>
    <row r="1303" spans="1:14" x14ac:dyDescent="0.25">
      <c r="A1303" s="22">
        <v>7269</v>
      </c>
      <c r="B1303" s="3">
        <v>37963</v>
      </c>
      <c r="C1303" s="3">
        <v>43928</v>
      </c>
      <c r="D1303" s="2">
        <f t="shared" si="41"/>
        <v>17</v>
      </c>
      <c r="E1303" s="4" t="str" cm="1">
        <f t="array" ref="E1303">_xlfn.IFS(
D1303&lt;=5,"Newcomer",
D1303&lt;=10,"Proficient",
D1303&gt;10,"Expert"
)</f>
        <v>Expert</v>
      </c>
      <c r="F1303" s="2" t="s">
        <v>69</v>
      </c>
      <c r="G1303" s="5" t="s">
        <v>71</v>
      </c>
      <c r="H1303" s="5" t="s">
        <v>116</v>
      </c>
      <c r="I1303" s="2">
        <v>28</v>
      </c>
      <c r="J1303" s="2" t="s">
        <v>24</v>
      </c>
      <c r="K1303" s="2" t="s">
        <v>25</v>
      </c>
      <c r="L1303" s="2" t="s">
        <v>50</v>
      </c>
      <c r="M1303" s="4" t="str">
        <f t="shared" si="40"/>
        <v>Voluntary</v>
      </c>
      <c r="N1303" s="23" t="s">
        <v>26</v>
      </c>
    </row>
    <row r="1304" spans="1:14" x14ac:dyDescent="0.25">
      <c r="A1304" s="22">
        <v>7270</v>
      </c>
      <c r="B1304" s="3">
        <v>39082</v>
      </c>
      <c r="C1304" s="3">
        <v>44104</v>
      </c>
      <c r="D1304" s="2">
        <f t="shared" si="41"/>
        <v>14</v>
      </c>
      <c r="E1304" s="4" t="str" cm="1">
        <f t="array" ref="E1304">_xlfn.IFS(
D1304&lt;=5,"Newcomer",
D1304&lt;=10,"Proficient",
D1304&gt;10,"Expert"
)</f>
        <v>Expert</v>
      </c>
      <c r="F1304" s="2" t="s">
        <v>69</v>
      </c>
      <c r="G1304" s="5" t="s">
        <v>71</v>
      </c>
      <c r="H1304" s="5" t="s">
        <v>116</v>
      </c>
      <c r="I1304" s="2">
        <v>28</v>
      </c>
      <c r="J1304" s="2" t="s">
        <v>24</v>
      </c>
      <c r="K1304" s="2" t="s">
        <v>25</v>
      </c>
      <c r="L1304" s="2" t="s">
        <v>50</v>
      </c>
      <c r="M1304" s="4" t="str">
        <f t="shared" si="40"/>
        <v>Voluntary</v>
      </c>
      <c r="N1304" s="23" t="s">
        <v>26</v>
      </c>
    </row>
    <row r="1305" spans="1:14" x14ac:dyDescent="0.25">
      <c r="A1305" s="22">
        <v>7273</v>
      </c>
      <c r="B1305" s="3">
        <v>37262</v>
      </c>
      <c r="C1305" s="3">
        <v>44026</v>
      </c>
      <c r="D1305" s="2">
        <f t="shared" si="41"/>
        <v>18</v>
      </c>
      <c r="E1305" s="4" t="str" cm="1">
        <f t="array" ref="E1305">_xlfn.IFS(
D1305&lt;=5,"Newcomer",
D1305&lt;=10,"Proficient",
D1305&gt;10,"Expert"
)</f>
        <v>Expert</v>
      </c>
      <c r="F1305" s="2" t="s">
        <v>73</v>
      </c>
      <c r="G1305" s="5" t="s">
        <v>71</v>
      </c>
      <c r="H1305" s="5" t="s">
        <v>116</v>
      </c>
      <c r="I1305" s="2">
        <v>32</v>
      </c>
      <c r="J1305" s="2" t="s">
        <v>24</v>
      </c>
      <c r="K1305" s="2" t="s">
        <v>25</v>
      </c>
      <c r="L1305" s="2" t="s">
        <v>50</v>
      </c>
      <c r="M1305" s="4" t="str">
        <f t="shared" si="40"/>
        <v>Voluntary</v>
      </c>
      <c r="N1305" s="23" t="s">
        <v>26</v>
      </c>
    </row>
    <row r="1306" spans="1:14" x14ac:dyDescent="0.25">
      <c r="A1306" s="22">
        <v>7274</v>
      </c>
      <c r="B1306" s="3">
        <v>38240</v>
      </c>
      <c r="C1306" s="3">
        <v>44142</v>
      </c>
      <c r="D1306" s="2">
        <f t="shared" si="41"/>
        <v>16</v>
      </c>
      <c r="E1306" s="4" t="str" cm="1">
        <f t="array" ref="E1306">_xlfn.IFS(
D1306&lt;=5,"Newcomer",
D1306&lt;=10,"Proficient",
D1306&gt;10,"Expert"
)</f>
        <v>Expert</v>
      </c>
      <c r="F1306" s="2" t="s">
        <v>79</v>
      </c>
      <c r="G1306" s="5" t="s">
        <v>71</v>
      </c>
      <c r="H1306" s="5" t="s">
        <v>116</v>
      </c>
      <c r="I1306" s="2">
        <v>25</v>
      </c>
      <c r="J1306" s="2" t="s">
        <v>24</v>
      </c>
      <c r="K1306" s="2" t="s">
        <v>25</v>
      </c>
      <c r="L1306" s="2" t="s">
        <v>50</v>
      </c>
      <c r="M1306" s="4" t="str">
        <f t="shared" si="40"/>
        <v>Voluntary</v>
      </c>
      <c r="N1306" s="23" t="s">
        <v>26</v>
      </c>
    </row>
    <row r="1307" spans="1:14" x14ac:dyDescent="0.25">
      <c r="A1307" s="22">
        <v>7282</v>
      </c>
      <c r="B1307" s="3">
        <v>34696</v>
      </c>
      <c r="C1307" s="3">
        <v>43999</v>
      </c>
      <c r="D1307" s="2">
        <f t="shared" si="41"/>
        <v>26</v>
      </c>
      <c r="E1307" s="4" t="str" cm="1">
        <f t="array" ref="E1307">_xlfn.IFS(
D1307&lt;=5,"Newcomer",
D1307&lt;=10,"Proficient",
D1307&gt;10,"Expert"
)</f>
        <v>Expert</v>
      </c>
      <c r="F1307" s="2" t="s">
        <v>90</v>
      </c>
      <c r="G1307" s="5" t="s">
        <v>71</v>
      </c>
      <c r="H1307" s="5" t="s">
        <v>116</v>
      </c>
      <c r="I1307" s="2">
        <v>26</v>
      </c>
      <c r="J1307" s="2" t="s">
        <v>24</v>
      </c>
      <c r="K1307" s="2" t="s">
        <v>25</v>
      </c>
      <c r="L1307" s="2" t="s">
        <v>50</v>
      </c>
      <c r="M1307" s="4" t="str">
        <f t="shared" si="40"/>
        <v>Voluntary</v>
      </c>
      <c r="N1307" s="23" t="s">
        <v>26</v>
      </c>
    </row>
    <row r="1308" spans="1:14" x14ac:dyDescent="0.25">
      <c r="A1308" s="22">
        <v>7287</v>
      </c>
      <c r="B1308" s="3">
        <v>39136</v>
      </c>
      <c r="C1308" s="3">
        <v>44010</v>
      </c>
      <c r="D1308" s="2">
        <f t="shared" si="41"/>
        <v>13</v>
      </c>
      <c r="E1308" s="4" t="str" cm="1">
        <f t="array" ref="E1308">_xlfn.IFS(
D1308&lt;=5,"Newcomer",
D1308&lt;=10,"Proficient",
D1308&gt;10,"Expert"
)</f>
        <v>Expert</v>
      </c>
      <c r="F1308" s="2" t="s">
        <v>90</v>
      </c>
      <c r="G1308" s="5" t="s">
        <v>71</v>
      </c>
      <c r="H1308" s="5" t="s">
        <v>116</v>
      </c>
      <c r="I1308" s="2">
        <v>26</v>
      </c>
      <c r="J1308" s="2" t="s">
        <v>24</v>
      </c>
      <c r="K1308" s="2" t="s">
        <v>25</v>
      </c>
      <c r="L1308" s="2" t="s">
        <v>50</v>
      </c>
      <c r="M1308" s="4" t="str">
        <f t="shared" si="40"/>
        <v>Voluntary</v>
      </c>
      <c r="N1308" s="23" t="s">
        <v>26</v>
      </c>
    </row>
    <row r="1309" spans="1:14" x14ac:dyDescent="0.25">
      <c r="A1309" s="22">
        <v>7288</v>
      </c>
      <c r="B1309" s="3">
        <v>39991</v>
      </c>
      <c r="C1309" s="3">
        <v>44187</v>
      </c>
      <c r="D1309" s="2">
        <f t="shared" si="41"/>
        <v>11</v>
      </c>
      <c r="E1309" s="4" t="str" cm="1">
        <f t="array" ref="E1309">_xlfn.IFS(
D1309&lt;=5,"Newcomer",
D1309&lt;=10,"Proficient",
D1309&gt;10,"Expert"
)</f>
        <v>Expert</v>
      </c>
      <c r="F1309" s="2" t="s">
        <v>100</v>
      </c>
      <c r="G1309" s="5" t="s">
        <v>67</v>
      </c>
      <c r="H1309" s="5" t="s">
        <v>113</v>
      </c>
      <c r="I1309" s="2">
        <v>13</v>
      </c>
      <c r="J1309" s="2" t="s">
        <v>17</v>
      </c>
      <c r="K1309" s="2" t="s">
        <v>18</v>
      </c>
      <c r="L1309" s="2" t="s">
        <v>96</v>
      </c>
      <c r="M1309" s="4" t="str">
        <f t="shared" si="40"/>
        <v>Involuntary</v>
      </c>
      <c r="N1309" s="23" t="s">
        <v>26</v>
      </c>
    </row>
    <row r="1310" spans="1:14" x14ac:dyDescent="0.25">
      <c r="A1310" s="22">
        <v>7291</v>
      </c>
      <c r="B1310" s="3">
        <v>39148</v>
      </c>
      <c r="C1310" s="3">
        <v>44150</v>
      </c>
      <c r="D1310" s="2">
        <f t="shared" si="41"/>
        <v>13</v>
      </c>
      <c r="E1310" s="4" t="str" cm="1">
        <f t="array" ref="E1310">_xlfn.IFS(
D1310&lt;=5,"Newcomer",
D1310&lt;=10,"Proficient",
D1310&gt;10,"Expert"
)</f>
        <v>Expert</v>
      </c>
      <c r="F1310" s="2" t="s">
        <v>86</v>
      </c>
      <c r="G1310" s="5" t="s">
        <v>67</v>
      </c>
      <c r="H1310" s="5" t="s">
        <v>113</v>
      </c>
      <c r="I1310" s="2">
        <v>8</v>
      </c>
      <c r="J1310" s="2" t="s">
        <v>24</v>
      </c>
      <c r="K1310" s="2" t="s">
        <v>25</v>
      </c>
      <c r="L1310" s="2" t="s">
        <v>50</v>
      </c>
      <c r="M1310" s="4" t="str">
        <f t="shared" si="40"/>
        <v>Voluntary</v>
      </c>
      <c r="N1310" s="23" t="s">
        <v>26</v>
      </c>
    </row>
    <row r="1311" spans="1:14" x14ac:dyDescent="0.25">
      <c r="A1311" s="22">
        <v>7296</v>
      </c>
      <c r="B1311" s="3">
        <v>41066</v>
      </c>
      <c r="C1311" s="3">
        <v>44033</v>
      </c>
      <c r="D1311" s="2">
        <f t="shared" si="41"/>
        <v>8</v>
      </c>
      <c r="E1311" s="4" t="str" cm="1">
        <f t="array" ref="E1311">_xlfn.IFS(
D1311&lt;=5,"Newcomer",
D1311&lt;=10,"Proficient",
D1311&gt;10,"Expert"
)</f>
        <v>Proficient</v>
      </c>
      <c r="F1311" s="2" t="s">
        <v>14</v>
      </c>
      <c r="G1311" s="5" t="s">
        <v>42</v>
      </c>
      <c r="H1311" s="5" t="s">
        <v>105</v>
      </c>
      <c r="I1311" s="2">
        <v>44</v>
      </c>
      <c r="J1311" s="2" t="s">
        <v>17</v>
      </c>
      <c r="K1311" s="2" t="s">
        <v>18</v>
      </c>
      <c r="L1311" s="2" t="s">
        <v>50</v>
      </c>
      <c r="M1311" s="4" t="str">
        <f t="shared" si="40"/>
        <v>Voluntary</v>
      </c>
      <c r="N1311" s="23" t="s">
        <v>26</v>
      </c>
    </row>
    <row r="1312" spans="1:14" x14ac:dyDescent="0.25">
      <c r="A1312" s="22">
        <v>7297</v>
      </c>
      <c r="B1312" s="3">
        <v>34163</v>
      </c>
      <c r="C1312" s="3">
        <v>43966</v>
      </c>
      <c r="D1312" s="2">
        <f t="shared" si="41"/>
        <v>27</v>
      </c>
      <c r="E1312" s="4" t="str" cm="1">
        <f t="array" ref="E1312">_xlfn.IFS(
D1312&lt;=5,"Newcomer",
D1312&lt;=10,"Proficient",
D1312&gt;10,"Expert"
)</f>
        <v>Expert</v>
      </c>
      <c r="F1312" s="2" t="s">
        <v>81</v>
      </c>
      <c r="G1312" s="5" t="s">
        <v>62</v>
      </c>
      <c r="H1312" s="5" t="s">
        <v>63</v>
      </c>
      <c r="I1312" s="2">
        <v>5</v>
      </c>
      <c r="J1312" s="2" t="s">
        <v>17</v>
      </c>
      <c r="K1312" s="2" t="s">
        <v>18</v>
      </c>
      <c r="L1312" s="2" t="s">
        <v>50</v>
      </c>
      <c r="M1312" s="4" t="str">
        <f t="shared" si="40"/>
        <v>Voluntary</v>
      </c>
      <c r="N1312" s="23" t="s">
        <v>26</v>
      </c>
    </row>
    <row r="1313" spans="1:14" x14ac:dyDescent="0.25">
      <c r="A1313" s="22">
        <v>7300</v>
      </c>
      <c r="B1313" s="3">
        <v>38674</v>
      </c>
      <c r="C1313" s="3">
        <v>44141</v>
      </c>
      <c r="D1313" s="2">
        <f t="shared" si="41"/>
        <v>15</v>
      </c>
      <c r="E1313" s="4" t="str" cm="1">
        <f t="array" ref="E1313">_xlfn.IFS(
D1313&lt;=5,"Newcomer",
D1313&lt;=10,"Proficient",
D1313&gt;10,"Expert"
)</f>
        <v>Expert</v>
      </c>
      <c r="F1313" s="2" t="s">
        <v>70</v>
      </c>
      <c r="G1313" s="5" t="s">
        <v>71</v>
      </c>
      <c r="H1313" s="5" t="s">
        <v>116</v>
      </c>
      <c r="I1313" s="2">
        <v>6</v>
      </c>
      <c r="J1313" s="2" t="s">
        <v>24</v>
      </c>
      <c r="K1313" s="2" t="s">
        <v>25</v>
      </c>
      <c r="L1313" s="2" t="s">
        <v>50</v>
      </c>
      <c r="M1313" s="4" t="str">
        <f t="shared" si="40"/>
        <v>Voluntary</v>
      </c>
      <c r="N1313" s="23" t="s">
        <v>26</v>
      </c>
    </row>
    <row r="1314" spans="1:14" x14ac:dyDescent="0.25">
      <c r="A1314" s="22">
        <v>7302</v>
      </c>
      <c r="B1314" s="3">
        <v>41293</v>
      </c>
      <c r="C1314" s="3">
        <v>44155</v>
      </c>
      <c r="D1314" s="2">
        <f t="shared" si="41"/>
        <v>7</v>
      </c>
      <c r="E1314" s="4" t="str" cm="1">
        <f t="array" ref="E1314">_xlfn.IFS(
D1314&lt;=5,"Newcomer",
D1314&lt;=10,"Proficient",
D1314&gt;10,"Expert"
)</f>
        <v>Proficient</v>
      </c>
      <c r="F1314" s="2" t="s">
        <v>73</v>
      </c>
      <c r="G1314" s="5" t="s">
        <v>71</v>
      </c>
      <c r="H1314" s="5" t="s">
        <v>116</v>
      </c>
      <c r="I1314" s="2">
        <v>32</v>
      </c>
      <c r="J1314" s="2" t="s">
        <v>24</v>
      </c>
      <c r="K1314" s="2" t="s">
        <v>25</v>
      </c>
      <c r="L1314" s="2" t="s">
        <v>50</v>
      </c>
      <c r="M1314" s="4" t="str">
        <f t="shared" si="40"/>
        <v>Voluntary</v>
      </c>
      <c r="N1314" s="23" t="s">
        <v>26</v>
      </c>
    </row>
    <row r="1315" spans="1:14" x14ac:dyDescent="0.25">
      <c r="A1315" s="22">
        <v>7322</v>
      </c>
      <c r="B1315" s="3">
        <v>38215</v>
      </c>
      <c r="C1315" s="3">
        <v>43840</v>
      </c>
      <c r="D1315" s="2">
        <f t="shared" si="41"/>
        <v>16</v>
      </c>
      <c r="E1315" s="4" t="str" cm="1">
        <f t="array" ref="E1315">_xlfn.IFS(
D1315&lt;=5,"Newcomer",
D1315&lt;=10,"Proficient",
D1315&gt;10,"Expert"
)</f>
        <v>Expert</v>
      </c>
      <c r="F1315" s="2" t="s">
        <v>14</v>
      </c>
      <c r="G1315" s="5" t="s">
        <v>42</v>
      </c>
      <c r="H1315" s="5" t="s">
        <v>105</v>
      </c>
      <c r="I1315" s="2">
        <v>44</v>
      </c>
      <c r="J1315" s="2" t="s">
        <v>24</v>
      </c>
      <c r="K1315" s="2" t="s">
        <v>25</v>
      </c>
      <c r="L1315" s="2" t="s">
        <v>50</v>
      </c>
      <c r="M1315" s="4" t="str">
        <f t="shared" si="40"/>
        <v>Voluntary</v>
      </c>
      <c r="N1315" s="23" t="s">
        <v>26</v>
      </c>
    </row>
    <row r="1316" spans="1:14" x14ac:dyDescent="0.25">
      <c r="A1316" s="22">
        <v>7325</v>
      </c>
      <c r="B1316" s="3">
        <v>35413</v>
      </c>
      <c r="C1316" s="3">
        <v>44118</v>
      </c>
      <c r="D1316" s="2">
        <f t="shared" si="41"/>
        <v>24</v>
      </c>
      <c r="E1316" s="4" t="str" cm="1">
        <f t="array" ref="E1316">_xlfn.IFS(
D1316&lt;=5,"Newcomer",
D1316&lt;=10,"Proficient",
D1316&gt;10,"Expert"
)</f>
        <v>Expert</v>
      </c>
      <c r="F1316" s="2" t="s">
        <v>106</v>
      </c>
      <c r="G1316" s="5" t="s">
        <v>62</v>
      </c>
      <c r="H1316" s="5" t="s">
        <v>63</v>
      </c>
      <c r="I1316" s="2">
        <v>20</v>
      </c>
      <c r="J1316" s="2" t="s">
        <v>17</v>
      </c>
      <c r="K1316" s="2" t="s">
        <v>18</v>
      </c>
      <c r="L1316" s="2" t="s">
        <v>96</v>
      </c>
      <c r="M1316" s="4" t="str">
        <f t="shared" si="40"/>
        <v>Involuntary</v>
      </c>
      <c r="N1316" s="23" t="s">
        <v>26</v>
      </c>
    </row>
    <row r="1317" spans="1:14" x14ac:dyDescent="0.25">
      <c r="A1317" s="22">
        <v>7370</v>
      </c>
      <c r="B1317" s="3">
        <v>41485</v>
      </c>
      <c r="C1317" s="3">
        <v>44062</v>
      </c>
      <c r="D1317" s="2">
        <f t="shared" si="41"/>
        <v>7</v>
      </c>
      <c r="E1317" s="4" t="str" cm="1">
        <f t="array" ref="E1317">_xlfn.IFS(
D1317&lt;=5,"Newcomer",
D1317&lt;=10,"Proficient",
D1317&gt;10,"Expert"
)</f>
        <v>Proficient</v>
      </c>
      <c r="F1317" s="2" t="s">
        <v>106</v>
      </c>
      <c r="G1317" s="5" t="s">
        <v>67</v>
      </c>
      <c r="H1317" s="5" t="s">
        <v>113</v>
      </c>
      <c r="I1317" s="2">
        <v>20</v>
      </c>
      <c r="J1317" s="2" t="s">
        <v>17</v>
      </c>
      <c r="K1317" s="2" t="s">
        <v>18</v>
      </c>
      <c r="L1317" s="2" t="s">
        <v>96</v>
      </c>
      <c r="M1317" s="4" t="str">
        <f t="shared" si="40"/>
        <v>Involuntary</v>
      </c>
      <c r="N1317" s="23" t="s">
        <v>26</v>
      </c>
    </row>
    <row r="1318" spans="1:14" x14ac:dyDescent="0.25">
      <c r="A1318" s="22">
        <v>7388</v>
      </c>
      <c r="B1318" s="3">
        <v>35324</v>
      </c>
      <c r="C1318" s="3">
        <v>44161</v>
      </c>
      <c r="D1318" s="2">
        <f t="shared" si="41"/>
        <v>24</v>
      </c>
      <c r="E1318" s="4" t="str" cm="1">
        <f t="array" ref="E1318">_xlfn.IFS(
D1318&lt;=5,"Newcomer",
D1318&lt;=10,"Proficient",
D1318&gt;10,"Expert"
)</f>
        <v>Expert</v>
      </c>
      <c r="F1318" s="2" t="s">
        <v>49</v>
      </c>
      <c r="G1318" s="5" t="s">
        <v>67</v>
      </c>
      <c r="H1318" s="5" t="s">
        <v>113</v>
      </c>
      <c r="I1318" s="2">
        <v>12</v>
      </c>
      <c r="J1318" s="2" t="s">
        <v>24</v>
      </c>
      <c r="K1318" s="2" t="s">
        <v>25</v>
      </c>
      <c r="L1318" s="2" t="s">
        <v>50</v>
      </c>
      <c r="M1318" s="4" t="str">
        <f t="shared" si="40"/>
        <v>Voluntary</v>
      </c>
      <c r="N1318" s="23" t="s">
        <v>26</v>
      </c>
    </row>
    <row r="1319" spans="1:14" x14ac:dyDescent="0.25">
      <c r="A1319" s="22">
        <v>7406</v>
      </c>
      <c r="B1319" s="3">
        <v>39950</v>
      </c>
      <c r="C1319" s="3">
        <v>43978</v>
      </c>
      <c r="D1319" s="2">
        <f t="shared" si="41"/>
        <v>11</v>
      </c>
      <c r="E1319" s="4" t="str" cm="1">
        <f t="array" ref="E1319">_xlfn.IFS(
D1319&lt;=5,"Newcomer",
D1319&lt;=10,"Proficient",
D1319&gt;10,"Expert"
)</f>
        <v>Expert</v>
      </c>
      <c r="F1319" s="2" t="s">
        <v>107</v>
      </c>
      <c r="G1319" s="5" t="s">
        <v>71</v>
      </c>
      <c r="H1319" s="5" t="s">
        <v>116</v>
      </c>
      <c r="I1319" s="2">
        <v>11</v>
      </c>
      <c r="J1319" s="2" t="s">
        <v>17</v>
      </c>
      <c r="K1319" s="2" t="s">
        <v>18</v>
      </c>
      <c r="L1319" s="2" t="s">
        <v>96</v>
      </c>
      <c r="M1319" s="4" t="str">
        <f t="shared" si="40"/>
        <v>Involuntary</v>
      </c>
      <c r="N1319" s="23" t="s">
        <v>26</v>
      </c>
    </row>
    <row r="1320" spans="1:14" x14ac:dyDescent="0.25">
      <c r="A1320" s="22">
        <v>7411</v>
      </c>
      <c r="B1320" s="3">
        <v>36955</v>
      </c>
      <c r="C1320" s="3">
        <v>44185</v>
      </c>
      <c r="D1320" s="2">
        <f t="shared" si="41"/>
        <v>19</v>
      </c>
      <c r="E1320" s="4" t="str" cm="1">
        <f t="array" ref="E1320">_xlfn.IFS(
D1320&lt;=5,"Newcomer",
D1320&lt;=10,"Proficient",
D1320&gt;10,"Expert"
)</f>
        <v>Expert</v>
      </c>
      <c r="F1320" s="2" t="s">
        <v>101</v>
      </c>
      <c r="G1320" s="5" t="s">
        <v>67</v>
      </c>
      <c r="H1320" s="5" t="s">
        <v>113</v>
      </c>
      <c r="I1320" s="2">
        <v>38</v>
      </c>
      <c r="J1320" s="2" t="s">
        <v>17</v>
      </c>
      <c r="K1320" s="2" t="s">
        <v>18</v>
      </c>
      <c r="L1320" s="2" t="s">
        <v>50</v>
      </c>
      <c r="M1320" s="4" t="str">
        <f t="shared" si="40"/>
        <v>Voluntary</v>
      </c>
      <c r="N1320" s="23" t="s">
        <v>26</v>
      </c>
    </row>
    <row r="1321" spans="1:14" x14ac:dyDescent="0.25">
      <c r="A1321" s="22">
        <v>7416</v>
      </c>
      <c r="B1321" s="3">
        <v>36916</v>
      </c>
      <c r="C1321" s="3">
        <v>44150</v>
      </c>
      <c r="D1321" s="2">
        <f t="shared" si="41"/>
        <v>19</v>
      </c>
      <c r="E1321" s="4" t="str" cm="1">
        <f t="array" ref="E1321">_xlfn.IFS(
D1321&lt;=5,"Newcomer",
D1321&lt;=10,"Proficient",
D1321&gt;10,"Expert"
)</f>
        <v>Expert</v>
      </c>
      <c r="F1321" s="2" t="s">
        <v>70</v>
      </c>
      <c r="G1321" s="5" t="s">
        <v>71</v>
      </c>
      <c r="H1321" s="5" t="s">
        <v>116</v>
      </c>
      <c r="I1321" s="2">
        <v>6</v>
      </c>
      <c r="J1321" s="2" t="s">
        <v>17</v>
      </c>
      <c r="K1321" s="2" t="s">
        <v>18</v>
      </c>
      <c r="L1321" s="2" t="s">
        <v>50</v>
      </c>
      <c r="M1321" s="4" t="str">
        <f t="shared" si="40"/>
        <v>Voluntary</v>
      </c>
      <c r="N1321" s="23" t="s">
        <v>26</v>
      </c>
    </row>
    <row r="1322" spans="1:14" x14ac:dyDescent="0.25">
      <c r="A1322" s="22">
        <v>7424</v>
      </c>
      <c r="B1322" s="3">
        <v>35937</v>
      </c>
      <c r="C1322" s="3">
        <v>43935</v>
      </c>
      <c r="D1322" s="2">
        <f t="shared" si="41"/>
        <v>22</v>
      </c>
      <c r="E1322" s="4" t="str" cm="1">
        <f t="array" ref="E1322">_xlfn.IFS(
D1322&lt;=5,"Newcomer",
D1322&lt;=10,"Proficient",
D1322&gt;10,"Expert"
)</f>
        <v>Expert</v>
      </c>
      <c r="F1322" s="2" t="s">
        <v>77</v>
      </c>
      <c r="G1322" s="5" t="s">
        <v>71</v>
      </c>
      <c r="H1322" s="5" t="s">
        <v>116</v>
      </c>
      <c r="I1322" s="2">
        <v>30</v>
      </c>
      <c r="J1322" s="2" t="s">
        <v>24</v>
      </c>
      <c r="K1322" s="2" t="s">
        <v>25</v>
      </c>
      <c r="L1322" s="2" t="s">
        <v>50</v>
      </c>
      <c r="M1322" s="4" t="str">
        <f t="shared" si="40"/>
        <v>Voluntary</v>
      </c>
      <c r="N1322" s="23" t="s">
        <v>26</v>
      </c>
    </row>
    <row r="1323" spans="1:14" x14ac:dyDescent="0.25">
      <c r="A1323" s="22">
        <v>7425</v>
      </c>
      <c r="B1323" s="3">
        <v>37312</v>
      </c>
      <c r="C1323" s="3">
        <v>44019</v>
      </c>
      <c r="D1323" s="2">
        <f t="shared" si="41"/>
        <v>18</v>
      </c>
      <c r="E1323" s="4" t="str" cm="1">
        <f t="array" ref="E1323">_xlfn.IFS(
D1323&lt;=5,"Newcomer",
D1323&lt;=10,"Proficient",
D1323&gt;10,"Expert"
)</f>
        <v>Expert</v>
      </c>
      <c r="F1323" s="2" t="s">
        <v>85</v>
      </c>
      <c r="G1323" s="5" t="s">
        <v>71</v>
      </c>
      <c r="H1323" s="5" t="s">
        <v>116</v>
      </c>
      <c r="I1323" s="2">
        <v>3</v>
      </c>
      <c r="J1323" s="2" t="s">
        <v>24</v>
      </c>
      <c r="K1323" s="2" t="s">
        <v>25</v>
      </c>
      <c r="L1323" s="2" t="s">
        <v>50</v>
      </c>
      <c r="M1323" s="4" t="str">
        <f t="shared" si="40"/>
        <v>Voluntary</v>
      </c>
      <c r="N1323" s="23" t="s">
        <v>26</v>
      </c>
    </row>
    <row r="1324" spans="1:14" x14ac:dyDescent="0.25">
      <c r="A1324" s="22">
        <v>7430</v>
      </c>
      <c r="B1324" s="3">
        <v>36183</v>
      </c>
      <c r="C1324" s="3">
        <v>43947</v>
      </c>
      <c r="D1324" s="2">
        <f t="shared" si="41"/>
        <v>21</v>
      </c>
      <c r="E1324" s="4" t="str" cm="1">
        <f t="array" ref="E1324">_xlfn.IFS(
D1324&lt;=5,"Newcomer",
D1324&lt;=10,"Proficient",
D1324&gt;10,"Expert"
)</f>
        <v>Expert</v>
      </c>
      <c r="F1324" s="2" t="s">
        <v>53</v>
      </c>
      <c r="G1324" s="5" t="s">
        <v>71</v>
      </c>
      <c r="H1324" s="5" t="s">
        <v>116</v>
      </c>
      <c r="I1324" s="2">
        <v>31</v>
      </c>
      <c r="J1324" s="2" t="s">
        <v>17</v>
      </c>
      <c r="K1324" s="2" t="s">
        <v>18</v>
      </c>
      <c r="L1324" s="2" t="s">
        <v>50</v>
      </c>
      <c r="M1324" s="4" t="str">
        <f t="shared" si="40"/>
        <v>Voluntary</v>
      </c>
      <c r="N1324" s="23" t="s">
        <v>26</v>
      </c>
    </row>
    <row r="1325" spans="1:14" x14ac:dyDescent="0.25">
      <c r="A1325" s="22">
        <v>7433</v>
      </c>
      <c r="B1325" s="3">
        <v>34583</v>
      </c>
      <c r="C1325" s="3">
        <v>43929</v>
      </c>
      <c r="D1325" s="2">
        <f t="shared" si="41"/>
        <v>26</v>
      </c>
      <c r="E1325" s="4" t="str" cm="1">
        <f t="array" ref="E1325">_xlfn.IFS(
D1325&lt;=5,"Newcomer",
D1325&lt;=10,"Proficient",
D1325&gt;10,"Expert"
)</f>
        <v>Expert</v>
      </c>
      <c r="F1325" s="2" t="s">
        <v>44</v>
      </c>
      <c r="G1325" s="5" t="s">
        <v>71</v>
      </c>
      <c r="H1325" s="5" t="s">
        <v>116</v>
      </c>
      <c r="I1325" s="2">
        <v>18</v>
      </c>
      <c r="J1325" s="2" t="s">
        <v>17</v>
      </c>
      <c r="K1325" s="2" t="s">
        <v>18</v>
      </c>
      <c r="L1325" s="2" t="s">
        <v>50</v>
      </c>
      <c r="M1325" s="4" t="str">
        <f t="shared" si="40"/>
        <v>Voluntary</v>
      </c>
      <c r="N1325" s="23" t="s">
        <v>26</v>
      </c>
    </row>
    <row r="1326" spans="1:14" x14ac:dyDescent="0.25">
      <c r="A1326" s="22">
        <v>7434</v>
      </c>
      <c r="B1326" s="3">
        <v>35669</v>
      </c>
      <c r="C1326" s="3">
        <v>44097</v>
      </c>
      <c r="D1326" s="2">
        <f t="shared" si="41"/>
        <v>23</v>
      </c>
      <c r="E1326" s="4" t="str" cm="1">
        <f t="array" ref="E1326">_xlfn.IFS(
D1326&lt;=5,"Newcomer",
D1326&lt;=10,"Proficient",
D1326&gt;10,"Expert"
)</f>
        <v>Expert</v>
      </c>
      <c r="F1326" s="2" t="s">
        <v>115</v>
      </c>
      <c r="G1326" s="5" t="s">
        <v>71</v>
      </c>
      <c r="H1326" s="5" t="s">
        <v>116</v>
      </c>
      <c r="I1326" s="2">
        <v>17</v>
      </c>
      <c r="J1326" s="2" t="s">
        <v>17</v>
      </c>
      <c r="K1326" s="2" t="s">
        <v>18</v>
      </c>
      <c r="L1326" s="2" t="s">
        <v>50</v>
      </c>
      <c r="M1326" s="4" t="str">
        <f t="shared" si="40"/>
        <v>Voluntary</v>
      </c>
      <c r="N1326" s="23" t="s">
        <v>26</v>
      </c>
    </row>
    <row r="1327" spans="1:14" x14ac:dyDescent="0.25">
      <c r="A1327" s="22">
        <v>7435</v>
      </c>
      <c r="B1327" s="3">
        <v>40373</v>
      </c>
      <c r="C1327" s="3">
        <v>44013</v>
      </c>
      <c r="D1327" s="2">
        <f t="shared" si="41"/>
        <v>10</v>
      </c>
      <c r="E1327" s="4" t="str" cm="1">
        <f t="array" ref="E1327">_xlfn.IFS(
D1327&lt;=5,"Newcomer",
D1327&lt;=10,"Proficient",
D1327&gt;10,"Expert"
)</f>
        <v>Proficient</v>
      </c>
      <c r="F1327" s="2" t="s">
        <v>70</v>
      </c>
      <c r="G1327" s="5" t="s">
        <v>71</v>
      </c>
      <c r="H1327" s="5" t="s">
        <v>116</v>
      </c>
      <c r="I1327" s="2">
        <v>6</v>
      </c>
      <c r="J1327" s="2" t="s">
        <v>17</v>
      </c>
      <c r="K1327" s="2" t="s">
        <v>18</v>
      </c>
      <c r="L1327" s="2" t="s">
        <v>50</v>
      </c>
      <c r="M1327" s="4" t="str">
        <f t="shared" si="40"/>
        <v>Voluntary</v>
      </c>
      <c r="N1327" s="23" t="s">
        <v>26</v>
      </c>
    </row>
    <row r="1328" spans="1:14" x14ac:dyDescent="0.25">
      <c r="A1328" s="22">
        <v>7439</v>
      </c>
      <c r="B1328" s="3">
        <v>40556</v>
      </c>
      <c r="C1328" s="3">
        <v>43997</v>
      </c>
      <c r="D1328" s="2">
        <f t="shared" si="41"/>
        <v>9</v>
      </c>
      <c r="E1328" s="4" t="str" cm="1">
        <f t="array" ref="E1328">_xlfn.IFS(
D1328&lt;=5,"Newcomer",
D1328&lt;=10,"Proficient",
D1328&gt;10,"Expert"
)</f>
        <v>Proficient</v>
      </c>
      <c r="F1328" s="2" t="s">
        <v>66</v>
      </c>
      <c r="G1328" s="5" t="s">
        <v>71</v>
      </c>
      <c r="H1328" s="5" t="s">
        <v>116</v>
      </c>
      <c r="I1328" s="2">
        <v>36</v>
      </c>
      <c r="J1328" s="2" t="s">
        <v>17</v>
      </c>
      <c r="K1328" s="2" t="s">
        <v>18</v>
      </c>
      <c r="L1328" s="2" t="s">
        <v>50</v>
      </c>
      <c r="M1328" s="4" t="str">
        <f t="shared" si="40"/>
        <v>Voluntary</v>
      </c>
      <c r="N1328" s="23" t="s">
        <v>26</v>
      </c>
    </row>
    <row r="1329" spans="1:14" x14ac:dyDescent="0.25">
      <c r="A1329" s="22">
        <v>7440</v>
      </c>
      <c r="B1329" s="3">
        <v>41684</v>
      </c>
      <c r="C1329" s="3">
        <v>44061</v>
      </c>
      <c r="D1329" s="2">
        <f t="shared" si="41"/>
        <v>6</v>
      </c>
      <c r="E1329" s="4" t="str" cm="1">
        <f t="array" ref="E1329">_xlfn.IFS(
D1329&lt;=5,"Newcomer",
D1329&lt;=10,"Proficient",
D1329&gt;10,"Expert"
)</f>
        <v>Proficient</v>
      </c>
      <c r="F1329" s="2" t="s">
        <v>77</v>
      </c>
      <c r="G1329" s="5" t="s">
        <v>71</v>
      </c>
      <c r="H1329" s="5" t="s">
        <v>116</v>
      </c>
      <c r="I1329" s="2">
        <v>30</v>
      </c>
      <c r="J1329" s="2" t="s">
        <v>17</v>
      </c>
      <c r="K1329" s="2" t="s">
        <v>18</v>
      </c>
      <c r="L1329" s="2" t="s">
        <v>50</v>
      </c>
      <c r="M1329" s="4" t="str">
        <f t="shared" si="40"/>
        <v>Voluntary</v>
      </c>
      <c r="N1329" s="23" t="s">
        <v>26</v>
      </c>
    </row>
    <row r="1330" spans="1:14" x14ac:dyDescent="0.25">
      <c r="A1330" s="22">
        <v>7441</v>
      </c>
      <c r="B1330" s="3">
        <v>35090</v>
      </c>
      <c r="C1330" s="3">
        <v>44062</v>
      </c>
      <c r="D1330" s="2">
        <f t="shared" si="41"/>
        <v>24</v>
      </c>
      <c r="E1330" s="4" t="str" cm="1">
        <f t="array" ref="E1330">_xlfn.IFS(
D1330&lt;=5,"Newcomer",
D1330&lt;=10,"Proficient",
D1330&gt;10,"Expert"
)</f>
        <v>Expert</v>
      </c>
      <c r="F1330" s="2" t="s">
        <v>108</v>
      </c>
      <c r="G1330" s="5" t="s">
        <v>35</v>
      </c>
      <c r="H1330" s="5" t="s">
        <v>76</v>
      </c>
      <c r="I1330" s="2">
        <v>14</v>
      </c>
      <c r="J1330" s="2" t="s">
        <v>24</v>
      </c>
      <c r="K1330" s="2" t="s">
        <v>25</v>
      </c>
      <c r="L1330" s="2" t="s">
        <v>96</v>
      </c>
      <c r="M1330" s="4" t="str">
        <f t="shared" si="40"/>
        <v>Involuntary</v>
      </c>
      <c r="N1330" s="23" t="s">
        <v>26</v>
      </c>
    </row>
    <row r="1331" spans="1:14" x14ac:dyDescent="0.25">
      <c r="A1331" s="22">
        <v>7448</v>
      </c>
      <c r="B1331" s="3">
        <v>33346</v>
      </c>
      <c r="C1331" s="3">
        <v>43935</v>
      </c>
      <c r="D1331" s="2">
        <f t="shared" si="41"/>
        <v>29</v>
      </c>
      <c r="E1331" s="4" t="str" cm="1">
        <f t="array" ref="E1331">_xlfn.IFS(
D1331&lt;=5,"Newcomer",
D1331&lt;=10,"Proficient",
D1331&gt;10,"Expert"
)</f>
        <v>Expert</v>
      </c>
      <c r="F1331" s="2" t="s">
        <v>90</v>
      </c>
      <c r="G1331" s="5" t="s">
        <v>71</v>
      </c>
      <c r="H1331" s="5" t="s">
        <v>116</v>
      </c>
      <c r="I1331" s="2">
        <v>26</v>
      </c>
      <c r="J1331" s="2" t="s">
        <v>24</v>
      </c>
      <c r="K1331" s="2" t="s">
        <v>25</v>
      </c>
      <c r="L1331" s="2" t="s">
        <v>50</v>
      </c>
      <c r="M1331" s="4" t="str">
        <f t="shared" si="40"/>
        <v>Voluntary</v>
      </c>
      <c r="N1331" s="23" t="s">
        <v>26</v>
      </c>
    </row>
    <row r="1332" spans="1:14" x14ac:dyDescent="0.25">
      <c r="A1332" s="22">
        <v>7454</v>
      </c>
      <c r="B1332" s="3">
        <v>41798</v>
      </c>
      <c r="C1332" s="3">
        <v>43984</v>
      </c>
      <c r="D1332" s="2">
        <f t="shared" si="41"/>
        <v>6</v>
      </c>
      <c r="E1332" s="4" t="str" cm="1">
        <f t="array" ref="E1332">_xlfn.IFS(
D1332&lt;=5,"Newcomer",
D1332&lt;=10,"Proficient",
D1332&gt;10,"Expert"
)</f>
        <v>Proficient</v>
      </c>
      <c r="F1332" s="2" t="s">
        <v>78</v>
      </c>
      <c r="G1332" s="5" t="s">
        <v>67</v>
      </c>
      <c r="H1332" s="5" t="s">
        <v>113</v>
      </c>
      <c r="I1332" s="2">
        <v>21</v>
      </c>
      <c r="J1332" s="2" t="s">
        <v>17</v>
      </c>
      <c r="K1332" s="2" t="s">
        <v>18</v>
      </c>
      <c r="L1332" s="2" t="s">
        <v>50</v>
      </c>
      <c r="M1332" s="4" t="str">
        <f t="shared" si="40"/>
        <v>Voluntary</v>
      </c>
      <c r="N1332" s="23" t="s">
        <v>26</v>
      </c>
    </row>
    <row r="1333" spans="1:14" x14ac:dyDescent="0.25">
      <c r="A1333" s="22">
        <v>7462</v>
      </c>
      <c r="B1333" s="3">
        <v>35620</v>
      </c>
      <c r="C1333" s="3">
        <v>44166</v>
      </c>
      <c r="D1333" s="2">
        <f t="shared" si="41"/>
        <v>23</v>
      </c>
      <c r="E1333" s="4" t="str" cm="1">
        <f t="array" ref="E1333">_xlfn.IFS(
D1333&lt;=5,"Newcomer",
D1333&lt;=10,"Proficient",
D1333&gt;10,"Expert"
)</f>
        <v>Expert</v>
      </c>
      <c r="F1333" s="2" t="s">
        <v>104</v>
      </c>
      <c r="G1333" s="5" t="s">
        <v>71</v>
      </c>
      <c r="H1333" s="5" t="s">
        <v>116</v>
      </c>
      <c r="I1333" s="2">
        <v>39</v>
      </c>
      <c r="J1333" s="2" t="s">
        <v>17</v>
      </c>
      <c r="K1333" s="2" t="s">
        <v>18</v>
      </c>
      <c r="L1333" s="2" t="s">
        <v>96</v>
      </c>
      <c r="M1333" s="4" t="str">
        <f t="shared" si="40"/>
        <v>Involuntary</v>
      </c>
      <c r="N1333" s="23" t="s">
        <v>26</v>
      </c>
    </row>
    <row r="1334" spans="1:14" x14ac:dyDescent="0.25">
      <c r="A1334" s="22">
        <v>7464</v>
      </c>
      <c r="B1334" s="3">
        <v>41925</v>
      </c>
      <c r="C1334" s="3">
        <v>43836</v>
      </c>
      <c r="D1334" s="2">
        <f t="shared" si="41"/>
        <v>6</v>
      </c>
      <c r="E1334" s="4" t="str" cm="1">
        <f t="array" ref="E1334">_xlfn.IFS(
D1334&lt;=5,"Newcomer",
D1334&lt;=10,"Proficient",
D1334&gt;10,"Expert"
)</f>
        <v>Proficient</v>
      </c>
      <c r="F1334" s="2" t="s">
        <v>90</v>
      </c>
      <c r="G1334" s="5" t="s">
        <v>71</v>
      </c>
      <c r="H1334" s="5" t="s">
        <v>116</v>
      </c>
      <c r="I1334" s="2">
        <v>26</v>
      </c>
      <c r="J1334" s="2" t="s">
        <v>17</v>
      </c>
      <c r="K1334" s="2" t="s">
        <v>18</v>
      </c>
      <c r="L1334" s="2" t="s">
        <v>50</v>
      </c>
      <c r="M1334" s="4" t="str">
        <f t="shared" si="40"/>
        <v>Voluntary</v>
      </c>
      <c r="N1334" s="23" t="s">
        <v>26</v>
      </c>
    </row>
    <row r="1335" spans="1:14" x14ac:dyDescent="0.25">
      <c r="A1335" s="22">
        <v>7466</v>
      </c>
      <c r="B1335" s="3">
        <v>35104</v>
      </c>
      <c r="C1335" s="3">
        <v>43903</v>
      </c>
      <c r="D1335" s="2">
        <f t="shared" si="41"/>
        <v>24</v>
      </c>
      <c r="E1335" s="4" t="str" cm="1">
        <f t="array" ref="E1335">_xlfn.IFS(
D1335&lt;=5,"Newcomer",
D1335&lt;=10,"Proficient",
D1335&gt;10,"Expert"
)</f>
        <v>Expert</v>
      </c>
      <c r="F1335" s="2" t="s">
        <v>70</v>
      </c>
      <c r="G1335" s="5" t="s">
        <v>71</v>
      </c>
      <c r="H1335" s="5" t="s">
        <v>116</v>
      </c>
      <c r="I1335" s="2">
        <v>6</v>
      </c>
      <c r="J1335" s="2" t="s">
        <v>24</v>
      </c>
      <c r="K1335" s="2" t="s">
        <v>25</v>
      </c>
      <c r="L1335" s="2" t="s">
        <v>50</v>
      </c>
      <c r="M1335" s="4" t="str">
        <f t="shared" si="40"/>
        <v>Voluntary</v>
      </c>
      <c r="N1335" s="23" t="s">
        <v>26</v>
      </c>
    </row>
    <row r="1336" spans="1:14" x14ac:dyDescent="0.25">
      <c r="A1336" s="22">
        <v>7467</v>
      </c>
      <c r="B1336" s="3">
        <v>41975</v>
      </c>
      <c r="C1336" s="3">
        <v>43834</v>
      </c>
      <c r="D1336" s="2">
        <f t="shared" si="41"/>
        <v>6</v>
      </c>
      <c r="E1336" s="4" t="str" cm="1">
        <f t="array" ref="E1336">_xlfn.IFS(
D1336&lt;=5,"Newcomer",
D1336&lt;=10,"Proficient",
D1336&gt;10,"Expert"
)</f>
        <v>Proficient</v>
      </c>
      <c r="F1336" s="2" t="s">
        <v>44</v>
      </c>
      <c r="G1336" s="5" t="s">
        <v>71</v>
      </c>
      <c r="H1336" s="5" t="s">
        <v>116</v>
      </c>
      <c r="I1336" s="2">
        <v>18</v>
      </c>
      <c r="J1336" s="2" t="s">
        <v>17</v>
      </c>
      <c r="K1336" s="2" t="s">
        <v>18</v>
      </c>
      <c r="L1336" s="2" t="s">
        <v>50</v>
      </c>
      <c r="M1336" s="4" t="str">
        <f t="shared" si="40"/>
        <v>Voluntary</v>
      </c>
      <c r="N1336" s="23" t="s">
        <v>26</v>
      </c>
    </row>
    <row r="1337" spans="1:14" x14ac:dyDescent="0.25">
      <c r="A1337" s="22">
        <v>7469</v>
      </c>
      <c r="B1337" s="3">
        <v>35768</v>
      </c>
      <c r="C1337" s="3">
        <v>44186</v>
      </c>
      <c r="D1337" s="2">
        <f t="shared" si="41"/>
        <v>23</v>
      </c>
      <c r="E1337" s="4" t="str" cm="1">
        <f t="array" ref="E1337">_xlfn.IFS(
D1337&lt;=5,"Newcomer",
D1337&lt;=10,"Proficient",
D1337&gt;10,"Expert"
)</f>
        <v>Expert</v>
      </c>
      <c r="F1337" s="2" t="s">
        <v>77</v>
      </c>
      <c r="G1337" s="5" t="s">
        <v>71</v>
      </c>
      <c r="H1337" s="5" t="s">
        <v>116</v>
      </c>
      <c r="I1337" s="2">
        <v>30</v>
      </c>
      <c r="J1337" s="2" t="s">
        <v>17</v>
      </c>
      <c r="K1337" s="2" t="s">
        <v>18</v>
      </c>
      <c r="L1337" s="2" t="s">
        <v>50</v>
      </c>
      <c r="M1337" s="4" t="str">
        <f t="shared" si="40"/>
        <v>Voluntary</v>
      </c>
      <c r="N1337" s="23" t="s">
        <v>26</v>
      </c>
    </row>
    <row r="1338" spans="1:14" x14ac:dyDescent="0.25">
      <c r="A1338" s="22">
        <v>7473</v>
      </c>
      <c r="B1338" s="3">
        <v>36282</v>
      </c>
      <c r="C1338" s="3">
        <v>43895</v>
      </c>
      <c r="D1338" s="2">
        <f t="shared" si="41"/>
        <v>21</v>
      </c>
      <c r="E1338" s="4" t="str" cm="1">
        <f t="array" ref="E1338">_xlfn.IFS(
D1338&lt;=5,"Newcomer",
D1338&lt;=10,"Proficient",
D1338&gt;10,"Expert"
)</f>
        <v>Expert</v>
      </c>
      <c r="F1338" s="2" t="s">
        <v>66</v>
      </c>
      <c r="G1338" s="5" t="s">
        <v>71</v>
      </c>
      <c r="H1338" s="5" t="s">
        <v>116</v>
      </c>
      <c r="I1338" s="2">
        <v>36</v>
      </c>
      <c r="J1338" s="2" t="s">
        <v>24</v>
      </c>
      <c r="K1338" s="2" t="s">
        <v>25</v>
      </c>
      <c r="L1338" s="2" t="s">
        <v>50</v>
      </c>
      <c r="M1338" s="4" t="str">
        <f t="shared" si="40"/>
        <v>Voluntary</v>
      </c>
      <c r="N1338" s="23" t="s">
        <v>26</v>
      </c>
    </row>
    <row r="1339" spans="1:14" x14ac:dyDescent="0.25">
      <c r="A1339" s="22">
        <v>7475</v>
      </c>
      <c r="B1339" s="3">
        <v>35699</v>
      </c>
      <c r="C1339" s="3">
        <v>44063</v>
      </c>
      <c r="D1339" s="2">
        <f t="shared" si="41"/>
        <v>23</v>
      </c>
      <c r="E1339" s="4" t="str" cm="1">
        <f t="array" ref="E1339">_xlfn.IFS(
D1339&lt;=5,"Newcomer",
D1339&lt;=10,"Proficient",
D1339&gt;10,"Expert"
)</f>
        <v>Expert</v>
      </c>
      <c r="F1339" s="2" t="s">
        <v>53</v>
      </c>
      <c r="G1339" s="5" t="s">
        <v>71</v>
      </c>
      <c r="H1339" s="5" t="s">
        <v>116</v>
      </c>
      <c r="I1339" s="2">
        <v>31</v>
      </c>
      <c r="J1339" s="2" t="s">
        <v>24</v>
      </c>
      <c r="K1339" s="2" t="s">
        <v>25</v>
      </c>
      <c r="L1339" s="2" t="s">
        <v>50</v>
      </c>
      <c r="M1339" s="4" t="str">
        <f t="shared" si="40"/>
        <v>Voluntary</v>
      </c>
      <c r="N1339" s="23" t="s">
        <v>26</v>
      </c>
    </row>
    <row r="1340" spans="1:14" x14ac:dyDescent="0.25">
      <c r="A1340" s="22">
        <v>7479</v>
      </c>
      <c r="B1340" s="3">
        <v>34035</v>
      </c>
      <c r="C1340" s="3">
        <v>44103</v>
      </c>
      <c r="D1340" s="2">
        <f t="shared" si="41"/>
        <v>27</v>
      </c>
      <c r="E1340" s="4" t="str" cm="1">
        <f t="array" ref="E1340">_xlfn.IFS(
D1340&lt;=5,"Newcomer",
D1340&lt;=10,"Proficient",
D1340&gt;10,"Expert"
)</f>
        <v>Expert</v>
      </c>
      <c r="F1340" s="2" t="s">
        <v>90</v>
      </c>
      <c r="G1340" s="5" t="s">
        <v>71</v>
      </c>
      <c r="H1340" s="5" t="s">
        <v>116</v>
      </c>
      <c r="I1340" s="2">
        <v>26</v>
      </c>
      <c r="J1340" s="2" t="s">
        <v>24</v>
      </c>
      <c r="K1340" s="2" t="s">
        <v>25</v>
      </c>
      <c r="L1340" s="2" t="s">
        <v>50</v>
      </c>
      <c r="M1340" s="4" t="str">
        <f t="shared" si="40"/>
        <v>Voluntary</v>
      </c>
      <c r="N1340" s="23" t="s">
        <v>26</v>
      </c>
    </row>
    <row r="1341" spans="1:14" x14ac:dyDescent="0.25">
      <c r="A1341" s="22">
        <v>7483</v>
      </c>
      <c r="B1341" s="3">
        <v>36372</v>
      </c>
      <c r="C1341" s="3">
        <v>44110</v>
      </c>
      <c r="D1341" s="2">
        <f t="shared" si="41"/>
        <v>21</v>
      </c>
      <c r="E1341" s="4" t="str" cm="1">
        <f t="array" ref="E1341">_xlfn.IFS(
D1341&lt;=5,"Newcomer",
D1341&lt;=10,"Proficient",
D1341&gt;10,"Expert"
)</f>
        <v>Expert</v>
      </c>
      <c r="F1341" s="2" t="s">
        <v>53</v>
      </c>
      <c r="G1341" s="5" t="s">
        <v>71</v>
      </c>
      <c r="H1341" s="5" t="s">
        <v>116</v>
      </c>
      <c r="I1341" s="2">
        <v>31</v>
      </c>
      <c r="J1341" s="2" t="s">
        <v>17</v>
      </c>
      <c r="K1341" s="2" t="s">
        <v>18</v>
      </c>
      <c r="L1341" s="2" t="s">
        <v>50</v>
      </c>
      <c r="M1341" s="4" t="str">
        <f t="shared" si="40"/>
        <v>Voluntary</v>
      </c>
      <c r="N1341" s="23" t="s">
        <v>26</v>
      </c>
    </row>
    <row r="1342" spans="1:14" x14ac:dyDescent="0.25">
      <c r="A1342" s="22">
        <v>7485</v>
      </c>
      <c r="B1342" s="3">
        <v>34268</v>
      </c>
      <c r="C1342" s="3">
        <v>44093</v>
      </c>
      <c r="D1342" s="2">
        <f t="shared" si="41"/>
        <v>27</v>
      </c>
      <c r="E1342" s="4" t="str" cm="1">
        <f t="array" ref="E1342">_xlfn.IFS(
D1342&lt;=5,"Newcomer",
D1342&lt;=10,"Proficient",
D1342&gt;10,"Expert"
)</f>
        <v>Expert</v>
      </c>
      <c r="F1342" s="2" t="s">
        <v>30</v>
      </c>
      <c r="G1342" s="5" t="s">
        <v>67</v>
      </c>
      <c r="H1342" s="5" t="s">
        <v>113</v>
      </c>
      <c r="I1342" s="2">
        <v>46</v>
      </c>
      <c r="J1342" s="2" t="s">
        <v>24</v>
      </c>
      <c r="K1342" s="2" t="s">
        <v>25</v>
      </c>
      <c r="L1342" s="2" t="s">
        <v>50</v>
      </c>
      <c r="M1342" s="4" t="str">
        <f t="shared" si="40"/>
        <v>Voluntary</v>
      </c>
      <c r="N1342" s="23" t="s">
        <v>26</v>
      </c>
    </row>
    <row r="1343" spans="1:14" x14ac:dyDescent="0.25">
      <c r="A1343" s="22">
        <v>7487</v>
      </c>
      <c r="B1343" s="3">
        <v>42172</v>
      </c>
      <c r="C1343" s="3">
        <v>43851</v>
      </c>
      <c r="D1343" s="2">
        <f t="shared" si="41"/>
        <v>5</v>
      </c>
      <c r="E1343" s="4" t="str" cm="1">
        <f t="array" ref="E1343">_xlfn.IFS(
D1343&lt;=5,"Newcomer",
D1343&lt;=10,"Proficient",
D1343&gt;10,"Expert"
)</f>
        <v>Newcomer</v>
      </c>
      <c r="F1343" s="2" t="s">
        <v>73</v>
      </c>
      <c r="G1343" s="5" t="s">
        <v>71</v>
      </c>
      <c r="H1343" s="5" t="s">
        <v>116</v>
      </c>
      <c r="I1343" s="2">
        <v>32</v>
      </c>
      <c r="J1343" s="2" t="s">
        <v>24</v>
      </c>
      <c r="K1343" s="2" t="s">
        <v>25</v>
      </c>
      <c r="L1343" s="2" t="s">
        <v>50</v>
      </c>
      <c r="M1343" s="4" t="str">
        <f t="shared" si="40"/>
        <v>Voluntary</v>
      </c>
      <c r="N1343" s="23" t="s">
        <v>26</v>
      </c>
    </row>
    <row r="1344" spans="1:14" x14ac:dyDescent="0.25">
      <c r="A1344" s="22">
        <v>7530</v>
      </c>
      <c r="B1344" s="3">
        <v>37472</v>
      </c>
      <c r="C1344" s="3">
        <v>44189</v>
      </c>
      <c r="D1344" s="2">
        <f t="shared" si="41"/>
        <v>18</v>
      </c>
      <c r="E1344" s="4" t="str" cm="1">
        <f t="array" ref="E1344">_xlfn.IFS(
D1344&lt;=5,"Newcomer",
D1344&lt;=10,"Proficient",
D1344&gt;10,"Expert"
)</f>
        <v>Expert</v>
      </c>
      <c r="F1344" s="2" t="s">
        <v>44</v>
      </c>
      <c r="G1344" s="5" t="s">
        <v>71</v>
      </c>
      <c r="H1344" s="5" t="s">
        <v>116</v>
      </c>
      <c r="I1344" s="2">
        <v>18</v>
      </c>
      <c r="J1344" s="2" t="s">
        <v>24</v>
      </c>
      <c r="K1344" s="2" t="s">
        <v>25</v>
      </c>
      <c r="L1344" s="2" t="s">
        <v>50</v>
      </c>
      <c r="M1344" s="4" t="str">
        <f t="shared" si="40"/>
        <v>Voluntary</v>
      </c>
      <c r="N1344" s="23" t="s">
        <v>26</v>
      </c>
    </row>
    <row r="1345" spans="1:14" x14ac:dyDescent="0.25">
      <c r="A1345" s="22">
        <v>7532</v>
      </c>
      <c r="B1345" s="3">
        <v>38174</v>
      </c>
      <c r="C1345" s="3">
        <v>43989</v>
      </c>
      <c r="D1345" s="2">
        <f t="shared" si="41"/>
        <v>16</v>
      </c>
      <c r="E1345" s="4" t="str" cm="1">
        <f t="array" ref="E1345">_xlfn.IFS(
D1345&lt;=5,"Newcomer",
D1345&lt;=10,"Proficient",
D1345&gt;10,"Expert"
)</f>
        <v>Expert</v>
      </c>
      <c r="F1345" s="2" t="s">
        <v>107</v>
      </c>
      <c r="G1345" s="5" t="s">
        <v>71</v>
      </c>
      <c r="H1345" s="5" t="s">
        <v>116</v>
      </c>
      <c r="I1345" s="2">
        <v>11</v>
      </c>
      <c r="J1345" s="2" t="s">
        <v>17</v>
      </c>
      <c r="K1345" s="2" t="s">
        <v>18</v>
      </c>
      <c r="L1345" s="2" t="s">
        <v>96</v>
      </c>
      <c r="M1345" s="4" t="str">
        <f t="shared" si="40"/>
        <v>Involuntary</v>
      </c>
      <c r="N1345" s="23" t="s">
        <v>26</v>
      </c>
    </row>
    <row r="1346" spans="1:14" x14ac:dyDescent="0.25">
      <c r="A1346" s="22">
        <v>7537</v>
      </c>
      <c r="B1346" s="3">
        <v>37871</v>
      </c>
      <c r="C1346" s="3">
        <v>43884</v>
      </c>
      <c r="D1346" s="2">
        <f t="shared" si="41"/>
        <v>17</v>
      </c>
      <c r="E1346" s="4" t="str" cm="1">
        <f t="array" ref="E1346">_xlfn.IFS(
D1346&lt;=5,"Newcomer",
D1346&lt;=10,"Proficient",
D1346&gt;10,"Expert"
)</f>
        <v>Expert</v>
      </c>
      <c r="F1346" s="2" t="s">
        <v>14</v>
      </c>
      <c r="G1346" s="5" t="s">
        <v>47</v>
      </c>
      <c r="H1346" s="5" t="s">
        <v>95</v>
      </c>
      <c r="I1346" s="2">
        <v>44</v>
      </c>
      <c r="J1346" s="2" t="s">
        <v>24</v>
      </c>
      <c r="K1346" s="2" t="s">
        <v>25</v>
      </c>
      <c r="L1346" s="2" t="s">
        <v>50</v>
      </c>
      <c r="M1346" s="4" t="str">
        <f t="shared" ref="M1346:M1409" si="42">IF(OR(L1346="Retirement",L1346="Resignation"),"Voluntary","Involuntary")</f>
        <v>Voluntary</v>
      </c>
      <c r="N1346" s="23" t="s">
        <v>26</v>
      </c>
    </row>
    <row r="1347" spans="1:14" x14ac:dyDescent="0.25">
      <c r="A1347" s="22">
        <v>7560</v>
      </c>
      <c r="B1347" s="3">
        <v>38839</v>
      </c>
      <c r="C1347" s="3">
        <v>44184</v>
      </c>
      <c r="D1347" s="2">
        <f t="shared" ref="D1347:D1410" si="43">YEAR(C1347)-YEAR(B1347)</f>
        <v>14</v>
      </c>
      <c r="E1347" s="4" t="str" cm="1">
        <f t="array" ref="E1347">_xlfn.IFS(
D1347&lt;=5,"Newcomer",
D1347&lt;=10,"Proficient",
D1347&gt;10,"Expert"
)</f>
        <v>Expert</v>
      </c>
      <c r="F1347" s="2" t="s">
        <v>87</v>
      </c>
      <c r="G1347" s="5" t="s">
        <v>71</v>
      </c>
      <c r="H1347" s="5" t="s">
        <v>116</v>
      </c>
      <c r="I1347" s="2">
        <v>40</v>
      </c>
      <c r="J1347" s="2" t="s">
        <v>17</v>
      </c>
      <c r="K1347" s="2" t="s">
        <v>18</v>
      </c>
      <c r="L1347" s="2" t="s">
        <v>50</v>
      </c>
      <c r="M1347" s="4" t="str">
        <f t="shared" si="42"/>
        <v>Voluntary</v>
      </c>
      <c r="N1347" s="23" t="s">
        <v>26</v>
      </c>
    </row>
    <row r="1348" spans="1:14" x14ac:dyDescent="0.25">
      <c r="A1348" s="22">
        <v>7566</v>
      </c>
      <c r="B1348" s="3">
        <v>38917</v>
      </c>
      <c r="C1348" s="3">
        <v>43922</v>
      </c>
      <c r="D1348" s="2">
        <f t="shared" si="43"/>
        <v>14</v>
      </c>
      <c r="E1348" s="4" t="str" cm="1">
        <f t="array" ref="E1348">_xlfn.IFS(
D1348&lt;=5,"Newcomer",
D1348&lt;=10,"Proficient",
D1348&gt;10,"Expert"
)</f>
        <v>Expert</v>
      </c>
      <c r="F1348" s="2" t="s">
        <v>74</v>
      </c>
      <c r="G1348" s="5" t="s">
        <v>71</v>
      </c>
      <c r="H1348" s="5" t="s">
        <v>116</v>
      </c>
      <c r="I1348" s="2">
        <v>9</v>
      </c>
      <c r="J1348" s="2" t="s">
        <v>24</v>
      </c>
      <c r="K1348" s="2" t="s">
        <v>25</v>
      </c>
      <c r="L1348" s="2" t="s">
        <v>96</v>
      </c>
      <c r="M1348" s="4" t="str">
        <f t="shared" si="42"/>
        <v>Involuntary</v>
      </c>
      <c r="N1348" s="23" t="s">
        <v>26</v>
      </c>
    </row>
    <row r="1349" spans="1:14" x14ac:dyDescent="0.25">
      <c r="A1349" s="22">
        <v>7574</v>
      </c>
      <c r="B1349" s="3">
        <v>37568</v>
      </c>
      <c r="C1349" s="3">
        <v>43833</v>
      </c>
      <c r="D1349" s="2">
        <f t="shared" si="43"/>
        <v>18</v>
      </c>
      <c r="E1349" s="4" t="str" cm="1">
        <f t="array" ref="E1349">_xlfn.IFS(
D1349&lt;=5,"Newcomer",
D1349&lt;=10,"Proficient",
D1349&gt;10,"Expert"
)</f>
        <v>Expert</v>
      </c>
      <c r="F1349" s="2" t="s">
        <v>73</v>
      </c>
      <c r="G1349" s="5" t="s">
        <v>71</v>
      </c>
      <c r="H1349" s="5" t="s">
        <v>116</v>
      </c>
      <c r="I1349" s="2">
        <v>32</v>
      </c>
      <c r="J1349" s="2" t="s">
        <v>24</v>
      </c>
      <c r="K1349" s="2" t="s">
        <v>25</v>
      </c>
      <c r="L1349" s="2" t="s">
        <v>50</v>
      </c>
      <c r="M1349" s="4" t="str">
        <f t="shared" si="42"/>
        <v>Voluntary</v>
      </c>
      <c r="N1349" s="23" t="s">
        <v>26</v>
      </c>
    </row>
    <row r="1350" spans="1:14" x14ac:dyDescent="0.25">
      <c r="A1350" s="22">
        <v>7584</v>
      </c>
      <c r="B1350" s="3">
        <v>34519</v>
      </c>
      <c r="C1350" s="3">
        <v>43960</v>
      </c>
      <c r="D1350" s="2">
        <f t="shared" si="43"/>
        <v>26</v>
      </c>
      <c r="E1350" s="4" t="str" cm="1">
        <f t="array" ref="E1350">_xlfn.IFS(
D1350&lt;=5,"Newcomer",
D1350&lt;=10,"Proficient",
D1350&gt;10,"Expert"
)</f>
        <v>Expert</v>
      </c>
      <c r="F1350" s="2" t="s">
        <v>44</v>
      </c>
      <c r="G1350" s="5" t="s">
        <v>71</v>
      </c>
      <c r="H1350" s="5" t="s">
        <v>116</v>
      </c>
      <c r="I1350" s="2">
        <v>18</v>
      </c>
      <c r="J1350" s="2" t="s">
        <v>17</v>
      </c>
      <c r="K1350" s="2" t="s">
        <v>18</v>
      </c>
      <c r="L1350" s="2" t="s">
        <v>50</v>
      </c>
      <c r="M1350" s="4" t="str">
        <f t="shared" si="42"/>
        <v>Voluntary</v>
      </c>
      <c r="N1350" s="23" t="s">
        <v>26</v>
      </c>
    </row>
    <row r="1351" spans="1:14" x14ac:dyDescent="0.25">
      <c r="A1351" s="22">
        <v>7595</v>
      </c>
      <c r="B1351" s="3">
        <v>38131</v>
      </c>
      <c r="C1351" s="3">
        <v>44112</v>
      </c>
      <c r="D1351" s="2">
        <f t="shared" si="43"/>
        <v>16</v>
      </c>
      <c r="E1351" s="4" t="str" cm="1">
        <f t="array" ref="E1351">_xlfn.IFS(
D1351&lt;=5,"Newcomer",
D1351&lt;=10,"Proficient",
D1351&gt;10,"Expert"
)</f>
        <v>Expert</v>
      </c>
      <c r="F1351" s="2" t="s">
        <v>30</v>
      </c>
      <c r="G1351" s="5" t="s">
        <v>67</v>
      </c>
      <c r="H1351" s="5" t="s">
        <v>113</v>
      </c>
      <c r="I1351" s="2">
        <v>46</v>
      </c>
      <c r="J1351" s="2" t="s">
        <v>24</v>
      </c>
      <c r="K1351" s="2" t="s">
        <v>25</v>
      </c>
      <c r="L1351" s="2" t="s">
        <v>50</v>
      </c>
      <c r="M1351" s="4" t="str">
        <f t="shared" si="42"/>
        <v>Voluntary</v>
      </c>
      <c r="N1351" s="23" t="s">
        <v>26</v>
      </c>
    </row>
    <row r="1352" spans="1:14" x14ac:dyDescent="0.25">
      <c r="A1352" s="22">
        <v>7598</v>
      </c>
      <c r="B1352" s="3">
        <v>34137</v>
      </c>
      <c r="C1352" s="3">
        <v>43996</v>
      </c>
      <c r="D1352" s="2">
        <f t="shared" si="43"/>
        <v>27</v>
      </c>
      <c r="E1352" s="4" t="str" cm="1">
        <f t="array" ref="E1352">_xlfn.IFS(
D1352&lt;=5,"Newcomer",
D1352&lt;=10,"Proficient",
D1352&gt;10,"Expert"
)</f>
        <v>Expert</v>
      </c>
      <c r="F1352" s="2" t="s">
        <v>91</v>
      </c>
      <c r="G1352" s="5" t="s">
        <v>71</v>
      </c>
      <c r="H1352" s="5" t="s">
        <v>116</v>
      </c>
      <c r="I1352" s="2">
        <v>29</v>
      </c>
      <c r="J1352" s="2" t="s">
        <v>17</v>
      </c>
      <c r="K1352" s="2" t="s">
        <v>18</v>
      </c>
      <c r="L1352" s="2" t="s">
        <v>50</v>
      </c>
      <c r="M1352" s="4" t="str">
        <f t="shared" si="42"/>
        <v>Voluntary</v>
      </c>
      <c r="N1352" s="23" t="s">
        <v>26</v>
      </c>
    </row>
    <row r="1353" spans="1:14" x14ac:dyDescent="0.25">
      <c r="A1353" s="22">
        <v>7599</v>
      </c>
      <c r="B1353" s="3">
        <v>41941</v>
      </c>
      <c r="C1353" s="3">
        <v>43952</v>
      </c>
      <c r="D1353" s="2">
        <f t="shared" si="43"/>
        <v>6</v>
      </c>
      <c r="E1353" s="4" t="str" cm="1">
        <f t="array" ref="E1353">_xlfn.IFS(
D1353&lt;=5,"Newcomer",
D1353&lt;=10,"Proficient",
D1353&gt;10,"Expert"
)</f>
        <v>Proficient</v>
      </c>
      <c r="F1353" s="2" t="s">
        <v>85</v>
      </c>
      <c r="G1353" s="5" t="s">
        <v>71</v>
      </c>
      <c r="H1353" s="5" t="s">
        <v>116</v>
      </c>
      <c r="I1353" s="2">
        <v>3</v>
      </c>
      <c r="J1353" s="2" t="s">
        <v>24</v>
      </c>
      <c r="K1353" s="2" t="s">
        <v>25</v>
      </c>
      <c r="L1353" s="2" t="s">
        <v>50</v>
      </c>
      <c r="M1353" s="4" t="str">
        <f t="shared" si="42"/>
        <v>Voluntary</v>
      </c>
      <c r="N1353" s="23" t="s">
        <v>26</v>
      </c>
    </row>
    <row r="1354" spans="1:14" x14ac:dyDescent="0.25">
      <c r="A1354" s="22">
        <v>7600</v>
      </c>
      <c r="B1354" s="3">
        <v>38450</v>
      </c>
      <c r="C1354" s="3">
        <v>44030</v>
      </c>
      <c r="D1354" s="2">
        <f t="shared" si="43"/>
        <v>15</v>
      </c>
      <c r="E1354" s="4" t="str" cm="1">
        <f t="array" ref="E1354">_xlfn.IFS(
D1354&lt;=5,"Newcomer",
D1354&lt;=10,"Proficient",
D1354&gt;10,"Expert"
)</f>
        <v>Expert</v>
      </c>
      <c r="F1354" s="2" t="s">
        <v>27</v>
      </c>
      <c r="G1354" s="5" t="s">
        <v>71</v>
      </c>
      <c r="H1354" s="5" t="s">
        <v>116</v>
      </c>
      <c r="I1354" s="2">
        <v>16</v>
      </c>
      <c r="J1354" s="2" t="s">
        <v>17</v>
      </c>
      <c r="K1354" s="2" t="s">
        <v>18</v>
      </c>
      <c r="L1354" s="2" t="s">
        <v>50</v>
      </c>
      <c r="M1354" s="4" t="str">
        <f t="shared" si="42"/>
        <v>Voluntary</v>
      </c>
      <c r="N1354" s="23" t="s">
        <v>26</v>
      </c>
    </row>
    <row r="1355" spans="1:14" x14ac:dyDescent="0.25">
      <c r="A1355" s="22">
        <v>7601</v>
      </c>
      <c r="B1355" s="3">
        <v>35327</v>
      </c>
      <c r="C1355" s="3">
        <v>44082</v>
      </c>
      <c r="D1355" s="2">
        <f t="shared" si="43"/>
        <v>24</v>
      </c>
      <c r="E1355" s="4" t="str" cm="1">
        <f t="array" ref="E1355">_xlfn.IFS(
D1355&lt;=5,"Newcomer",
D1355&lt;=10,"Proficient",
D1355&gt;10,"Expert"
)</f>
        <v>Expert</v>
      </c>
      <c r="F1355" s="2" t="s">
        <v>41</v>
      </c>
      <c r="G1355" s="5" t="s">
        <v>71</v>
      </c>
      <c r="H1355" s="5" t="s">
        <v>116</v>
      </c>
      <c r="I1355" s="2">
        <v>15</v>
      </c>
      <c r="J1355" s="2" t="s">
        <v>24</v>
      </c>
      <c r="K1355" s="2" t="s">
        <v>25</v>
      </c>
      <c r="L1355" s="2" t="s">
        <v>50</v>
      </c>
      <c r="M1355" s="4" t="str">
        <f t="shared" si="42"/>
        <v>Voluntary</v>
      </c>
      <c r="N1355" s="23" t="s">
        <v>26</v>
      </c>
    </row>
    <row r="1356" spans="1:14" x14ac:dyDescent="0.25">
      <c r="A1356" s="22">
        <v>7603</v>
      </c>
      <c r="B1356" s="3">
        <v>41558</v>
      </c>
      <c r="C1356" s="3">
        <v>44061</v>
      </c>
      <c r="D1356" s="2">
        <f t="shared" si="43"/>
        <v>7</v>
      </c>
      <c r="E1356" s="4" t="str" cm="1">
        <f t="array" ref="E1356">_xlfn.IFS(
D1356&lt;=5,"Newcomer",
D1356&lt;=10,"Proficient",
D1356&gt;10,"Expert"
)</f>
        <v>Proficient</v>
      </c>
      <c r="F1356" s="2" t="s">
        <v>91</v>
      </c>
      <c r="G1356" s="5" t="s">
        <v>71</v>
      </c>
      <c r="H1356" s="5" t="s">
        <v>116</v>
      </c>
      <c r="I1356" s="2">
        <v>29</v>
      </c>
      <c r="J1356" s="2" t="s">
        <v>24</v>
      </c>
      <c r="K1356" s="2" t="s">
        <v>25</v>
      </c>
      <c r="L1356" s="2" t="s">
        <v>50</v>
      </c>
      <c r="M1356" s="4" t="str">
        <f t="shared" si="42"/>
        <v>Voluntary</v>
      </c>
      <c r="N1356" s="23" t="s">
        <v>26</v>
      </c>
    </row>
    <row r="1357" spans="1:14" x14ac:dyDescent="0.25">
      <c r="A1357" s="22">
        <v>7605</v>
      </c>
      <c r="B1357" s="3">
        <v>36272</v>
      </c>
      <c r="C1357" s="3">
        <v>44050</v>
      </c>
      <c r="D1357" s="2">
        <f t="shared" si="43"/>
        <v>21</v>
      </c>
      <c r="E1357" s="4" t="str" cm="1">
        <f t="array" ref="E1357">_xlfn.IFS(
D1357&lt;=5,"Newcomer",
D1357&lt;=10,"Proficient",
D1357&gt;10,"Expert"
)</f>
        <v>Expert</v>
      </c>
      <c r="F1357" s="2" t="s">
        <v>41</v>
      </c>
      <c r="G1357" s="5" t="s">
        <v>71</v>
      </c>
      <c r="H1357" s="5" t="s">
        <v>116</v>
      </c>
      <c r="I1357" s="2">
        <v>15</v>
      </c>
      <c r="J1357" s="2" t="s">
        <v>17</v>
      </c>
      <c r="K1357" s="2" t="s">
        <v>18</v>
      </c>
      <c r="L1357" s="2" t="s">
        <v>50</v>
      </c>
      <c r="M1357" s="4" t="str">
        <f t="shared" si="42"/>
        <v>Voluntary</v>
      </c>
      <c r="N1357" s="23" t="s">
        <v>26</v>
      </c>
    </row>
    <row r="1358" spans="1:14" x14ac:dyDescent="0.25">
      <c r="A1358" s="22">
        <v>7608</v>
      </c>
      <c r="B1358" s="3">
        <v>34035</v>
      </c>
      <c r="C1358" s="3">
        <v>44059</v>
      </c>
      <c r="D1358" s="2">
        <f t="shared" si="43"/>
        <v>27</v>
      </c>
      <c r="E1358" s="4" t="str" cm="1">
        <f t="array" ref="E1358">_xlfn.IFS(
D1358&lt;=5,"Newcomer",
D1358&lt;=10,"Proficient",
D1358&gt;10,"Expert"
)</f>
        <v>Expert</v>
      </c>
      <c r="F1358" s="2" t="s">
        <v>53</v>
      </c>
      <c r="G1358" s="5" t="s">
        <v>71</v>
      </c>
      <c r="H1358" s="5" t="s">
        <v>116</v>
      </c>
      <c r="I1358" s="2">
        <v>31</v>
      </c>
      <c r="J1358" s="2" t="s">
        <v>17</v>
      </c>
      <c r="K1358" s="2" t="s">
        <v>18</v>
      </c>
      <c r="L1358" s="2" t="s">
        <v>50</v>
      </c>
      <c r="M1358" s="4" t="str">
        <f t="shared" si="42"/>
        <v>Voluntary</v>
      </c>
      <c r="N1358" s="23" t="s">
        <v>26</v>
      </c>
    </row>
    <row r="1359" spans="1:14" x14ac:dyDescent="0.25">
      <c r="A1359" s="22">
        <v>7609</v>
      </c>
      <c r="B1359" s="3">
        <v>38215</v>
      </c>
      <c r="C1359" s="3">
        <v>43879</v>
      </c>
      <c r="D1359" s="2">
        <f t="shared" si="43"/>
        <v>16</v>
      </c>
      <c r="E1359" s="4" t="str" cm="1">
        <f t="array" ref="E1359">_xlfn.IFS(
D1359&lt;=5,"Newcomer",
D1359&lt;=10,"Proficient",
D1359&gt;10,"Expert"
)</f>
        <v>Expert</v>
      </c>
      <c r="F1359" s="2" t="s">
        <v>30</v>
      </c>
      <c r="G1359" s="5" t="s">
        <v>71</v>
      </c>
      <c r="H1359" s="5" t="s">
        <v>116</v>
      </c>
      <c r="I1359" s="2">
        <v>46</v>
      </c>
      <c r="J1359" s="2" t="s">
        <v>24</v>
      </c>
      <c r="K1359" s="2" t="s">
        <v>25</v>
      </c>
      <c r="L1359" s="2" t="s">
        <v>50</v>
      </c>
      <c r="M1359" s="4" t="str">
        <f t="shared" si="42"/>
        <v>Voluntary</v>
      </c>
      <c r="N1359" s="23" t="s">
        <v>26</v>
      </c>
    </row>
    <row r="1360" spans="1:14" x14ac:dyDescent="0.25">
      <c r="A1360" s="22">
        <v>7610</v>
      </c>
      <c r="B1360" s="3">
        <v>36829</v>
      </c>
      <c r="C1360" s="3">
        <v>44184</v>
      </c>
      <c r="D1360" s="2">
        <f t="shared" si="43"/>
        <v>20</v>
      </c>
      <c r="E1360" s="4" t="str" cm="1">
        <f t="array" ref="E1360">_xlfn.IFS(
D1360&lt;=5,"Newcomer",
D1360&lt;=10,"Proficient",
D1360&gt;10,"Expert"
)</f>
        <v>Expert</v>
      </c>
      <c r="F1360" s="2" t="s">
        <v>102</v>
      </c>
      <c r="G1360" s="5" t="s">
        <v>62</v>
      </c>
      <c r="H1360" s="5" t="s">
        <v>63</v>
      </c>
      <c r="I1360" s="2">
        <v>1</v>
      </c>
      <c r="J1360" s="2" t="s">
        <v>24</v>
      </c>
      <c r="K1360" s="2" t="s">
        <v>25</v>
      </c>
      <c r="L1360" s="2" t="s">
        <v>50</v>
      </c>
      <c r="M1360" s="4" t="str">
        <f t="shared" si="42"/>
        <v>Voluntary</v>
      </c>
      <c r="N1360" s="23" t="s">
        <v>26</v>
      </c>
    </row>
    <row r="1361" spans="1:14" x14ac:dyDescent="0.25">
      <c r="A1361" s="22">
        <v>7611</v>
      </c>
      <c r="B1361" s="3">
        <v>34516</v>
      </c>
      <c r="C1361" s="3">
        <v>44175</v>
      </c>
      <c r="D1361" s="2">
        <f t="shared" si="43"/>
        <v>26</v>
      </c>
      <c r="E1361" s="4" t="str" cm="1">
        <f t="array" ref="E1361">_xlfn.IFS(
D1361&lt;=5,"Newcomer",
D1361&lt;=10,"Proficient",
D1361&gt;10,"Expert"
)</f>
        <v>Expert</v>
      </c>
      <c r="F1361" s="2" t="s">
        <v>90</v>
      </c>
      <c r="G1361" s="5" t="s">
        <v>71</v>
      </c>
      <c r="H1361" s="5" t="s">
        <v>116</v>
      </c>
      <c r="I1361" s="2">
        <v>26</v>
      </c>
      <c r="J1361" s="2" t="s">
        <v>24</v>
      </c>
      <c r="K1361" s="2" t="s">
        <v>25</v>
      </c>
      <c r="L1361" s="2" t="s">
        <v>50</v>
      </c>
      <c r="M1361" s="4" t="str">
        <f t="shared" si="42"/>
        <v>Voluntary</v>
      </c>
      <c r="N1361" s="23" t="s">
        <v>26</v>
      </c>
    </row>
    <row r="1362" spans="1:14" x14ac:dyDescent="0.25">
      <c r="A1362" s="22">
        <v>7612</v>
      </c>
      <c r="B1362" s="3">
        <v>38200</v>
      </c>
      <c r="C1362" s="3">
        <v>44081</v>
      </c>
      <c r="D1362" s="2">
        <f t="shared" si="43"/>
        <v>16</v>
      </c>
      <c r="E1362" s="4" t="str" cm="1">
        <f t="array" ref="E1362">_xlfn.IFS(
D1362&lt;=5,"Newcomer",
D1362&lt;=10,"Proficient",
D1362&gt;10,"Expert"
)</f>
        <v>Expert</v>
      </c>
      <c r="F1362" s="2" t="s">
        <v>109</v>
      </c>
      <c r="G1362" s="5" t="s">
        <v>71</v>
      </c>
      <c r="H1362" s="5" t="s">
        <v>116</v>
      </c>
      <c r="I1362" s="2">
        <v>22</v>
      </c>
      <c r="J1362" s="2" t="s">
        <v>17</v>
      </c>
      <c r="K1362" s="2" t="s">
        <v>18</v>
      </c>
      <c r="L1362" s="2" t="s">
        <v>50</v>
      </c>
      <c r="M1362" s="4" t="str">
        <f t="shared" si="42"/>
        <v>Voluntary</v>
      </c>
      <c r="N1362" s="23" t="s">
        <v>26</v>
      </c>
    </row>
    <row r="1363" spans="1:14" x14ac:dyDescent="0.25">
      <c r="A1363" s="22">
        <v>7613</v>
      </c>
      <c r="B1363" s="3">
        <v>40692</v>
      </c>
      <c r="C1363" s="3">
        <v>43999</v>
      </c>
      <c r="D1363" s="2">
        <f t="shared" si="43"/>
        <v>9</v>
      </c>
      <c r="E1363" s="4" t="str" cm="1">
        <f t="array" ref="E1363">_xlfn.IFS(
D1363&lt;=5,"Newcomer",
D1363&lt;=10,"Proficient",
D1363&gt;10,"Expert"
)</f>
        <v>Proficient</v>
      </c>
      <c r="F1363" s="2" t="s">
        <v>44</v>
      </c>
      <c r="G1363" s="5" t="s">
        <v>71</v>
      </c>
      <c r="H1363" s="5" t="s">
        <v>116</v>
      </c>
      <c r="I1363" s="2">
        <v>18</v>
      </c>
      <c r="J1363" s="2" t="s">
        <v>24</v>
      </c>
      <c r="K1363" s="2" t="s">
        <v>25</v>
      </c>
      <c r="L1363" s="2" t="s">
        <v>50</v>
      </c>
      <c r="M1363" s="4" t="str">
        <f t="shared" si="42"/>
        <v>Voluntary</v>
      </c>
      <c r="N1363" s="23" t="s">
        <v>26</v>
      </c>
    </row>
    <row r="1364" spans="1:14" x14ac:dyDescent="0.25">
      <c r="A1364" s="22">
        <v>7615</v>
      </c>
      <c r="B1364" s="3">
        <v>36677</v>
      </c>
      <c r="C1364" s="3">
        <v>44047</v>
      </c>
      <c r="D1364" s="2">
        <f t="shared" si="43"/>
        <v>20</v>
      </c>
      <c r="E1364" s="4" t="str" cm="1">
        <f t="array" ref="E1364">_xlfn.IFS(
D1364&lt;=5,"Newcomer",
D1364&lt;=10,"Proficient",
D1364&gt;10,"Expert"
)</f>
        <v>Expert</v>
      </c>
      <c r="F1364" s="2" t="s">
        <v>41</v>
      </c>
      <c r="G1364" s="5" t="s">
        <v>71</v>
      </c>
      <c r="H1364" s="5" t="s">
        <v>116</v>
      </c>
      <c r="I1364" s="2">
        <v>15</v>
      </c>
      <c r="J1364" s="2" t="s">
        <v>24</v>
      </c>
      <c r="K1364" s="2" t="s">
        <v>25</v>
      </c>
      <c r="L1364" s="2" t="s">
        <v>50</v>
      </c>
      <c r="M1364" s="4" t="str">
        <f t="shared" si="42"/>
        <v>Voluntary</v>
      </c>
      <c r="N1364" s="23" t="s">
        <v>26</v>
      </c>
    </row>
    <row r="1365" spans="1:14" x14ac:dyDescent="0.25">
      <c r="A1365" s="22">
        <v>7617</v>
      </c>
      <c r="B1365" s="3">
        <v>37051</v>
      </c>
      <c r="C1365" s="3">
        <v>44030</v>
      </c>
      <c r="D1365" s="2">
        <f t="shared" si="43"/>
        <v>19</v>
      </c>
      <c r="E1365" s="4" t="str" cm="1">
        <f t="array" ref="E1365">_xlfn.IFS(
D1365&lt;=5,"Newcomer",
D1365&lt;=10,"Proficient",
D1365&gt;10,"Expert"
)</f>
        <v>Expert</v>
      </c>
      <c r="F1365" s="2" t="s">
        <v>30</v>
      </c>
      <c r="G1365" s="5" t="s">
        <v>71</v>
      </c>
      <c r="H1365" s="5" t="s">
        <v>116</v>
      </c>
      <c r="I1365" s="2">
        <v>46</v>
      </c>
      <c r="J1365" s="2" t="s">
        <v>24</v>
      </c>
      <c r="K1365" s="2" t="s">
        <v>25</v>
      </c>
      <c r="L1365" s="2" t="s">
        <v>50</v>
      </c>
      <c r="M1365" s="4" t="str">
        <f t="shared" si="42"/>
        <v>Voluntary</v>
      </c>
      <c r="N1365" s="23" t="s">
        <v>26</v>
      </c>
    </row>
    <row r="1366" spans="1:14" x14ac:dyDescent="0.25">
      <c r="A1366" s="22">
        <v>7632</v>
      </c>
      <c r="B1366" s="3">
        <v>35462</v>
      </c>
      <c r="C1366" s="3">
        <v>44009</v>
      </c>
      <c r="D1366" s="2">
        <f t="shared" si="43"/>
        <v>23</v>
      </c>
      <c r="E1366" s="4" t="str" cm="1">
        <f t="array" ref="E1366">_xlfn.IFS(
D1366&lt;=5,"Newcomer",
D1366&lt;=10,"Proficient",
D1366&gt;10,"Expert"
)</f>
        <v>Expert</v>
      </c>
      <c r="F1366" s="2" t="s">
        <v>106</v>
      </c>
      <c r="G1366" s="5" t="s">
        <v>67</v>
      </c>
      <c r="H1366" s="5" t="s">
        <v>113</v>
      </c>
      <c r="I1366" s="2">
        <v>20</v>
      </c>
      <c r="J1366" s="2" t="s">
        <v>24</v>
      </c>
      <c r="K1366" s="2" t="s">
        <v>25</v>
      </c>
      <c r="L1366" s="2" t="s">
        <v>96</v>
      </c>
      <c r="M1366" s="4" t="str">
        <f t="shared" si="42"/>
        <v>Involuntary</v>
      </c>
      <c r="N1366" s="23" t="s">
        <v>26</v>
      </c>
    </row>
    <row r="1367" spans="1:14" x14ac:dyDescent="0.25">
      <c r="A1367" s="22">
        <v>7648</v>
      </c>
      <c r="B1367" s="3">
        <v>37047</v>
      </c>
      <c r="C1367" s="3">
        <v>43998</v>
      </c>
      <c r="D1367" s="2">
        <f t="shared" si="43"/>
        <v>19</v>
      </c>
      <c r="E1367" s="4" t="str" cm="1">
        <f t="array" ref="E1367">_xlfn.IFS(
D1367&lt;=5,"Newcomer",
D1367&lt;=10,"Proficient",
D1367&gt;10,"Expert"
)</f>
        <v>Expert</v>
      </c>
      <c r="F1367" s="2" t="s">
        <v>100</v>
      </c>
      <c r="G1367" s="5" t="s">
        <v>71</v>
      </c>
      <c r="H1367" s="5" t="s">
        <v>116</v>
      </c>
      <c r="I1367" s="2">
        <v>13</v>
      </c>
      <c r="J1367" s="2" t="s">
        <v>17</v>
      </c>
      <c r="K1367" s="2" t="s">
        <v>18</v>
      </c>
      <c r="L1367" s="2" t="s">
        <v>96</v>
      </c>
      <c r="M1367" s="4" t="str">
        <f t="shared" si="42"/>
        <v>Involuntary</v>
      </c>
      <c r="N1367" s="23" t="s">
        <v>26</v>
      </c>
    </row>
    <row r="1368" spans="1:14" x14ac:dyDescent="0.25">
      <c r="A1368" s="22">
        <v>7649</v>
      </c>
      <c r="B1368" s="3">
        <v>33169</v>
      </c>
      <c r="C1368" s="3">
        <v>43874</v>
      </c>
      <c r="D1368" s="2">
        <f t="shared" si="43"/>
        <v>30</v>
      </c>
      <c r="E1368" s="4" t="str" cm="1">
        <f t="array" ref="E1368">_xlfn.IFS(
D1368&lt;=5,"Newcomer",
D1368&lt;=10,"Proficient",
D1368&gt;10,"Expert"
)</f>
        <v>Expert</v>
      </c>
      <c r="F1368" s="2" t="s">
        <v>74</v>
      </c>
      <c r="G1368" s="5" t="s">
        <v>71</v>
      </c>
      <c r="H1368" s="5" t="s">
        <v>116</v>
      </c>
      <c r="I1368" s="2">
        <v>9</v>
      </c>
      <c r="J1368" s="2" t="s">
        <v>24</v>
      </c>
      <c r="K1368" s="2" t="s">
        <v>25</v>
      </c>
      <c r="L1368" s="2" t="s">
        <v>96</v>
      </c>
      <c r="M1368" s="4" t="str">
        <f t="shared" si="42"/>
        <v>Involuntary</v>
      </c>
      <c r="N1368" s="23" t="s">
        <v>26</v>
      </c>
    </row>
    <row r="1369" spans="1:14" x14ac:dyDescent="0.25">
      <c r="A1369" s="22">
        <v>7659</v>
      </c>
      <c r="B1369" s="3">
        <v>36857</v>
      </c>
      <c r="C1369" s="3">
        <v>43948</v>
      </c>
      <c r="D1369" s="2">
        <f t="shared" si="43"/>
        <v>20</v>
      </c>
      <c r="E1369" s="4" t="str" cm="1">
        <f t="array" ref="E1369">_xlfn.IFS(
D1369&lt;=5,"Newcomer",
D1369&lt;=10,"Proficient",
D1369&gt;10,"Expert"
)</f>
        <v>Expert</v>
      </c>
      <c r="F1369" s="2" t="s">
        <v>89</v>
      </c>
      <c r="G1369" s="5" t="s">
        <v>71</v>
      </c>
      <c r="H1369" s="5" t="s">
        <v>116</v>
      </c>
      <c r="I1369" s="2">
        <v>33</v>
      </c>
      <c r="J1369" s="2" t="s">
        <v>24</v>
      </c>
      <c r="K1369" s="2" t="s">
        <v>25</v>
      </c>
      <c r="L1369" s="2" t="s">
        <v>50</v>
      </c>
      <c r="M1369" s="4" t="str">
        <f t="shared" si="42"/>
        <v>Voluntary</v>
      </c>
      <c r="N1369" s="23" t="s">
        <v>26</v>
      </c>
    </row>
    <row r="1370" spans="1:14" x14ac:dyDescent="0.25">
      <c r="A1370" s="22">
        <v>7677</v>
      </c>
      <c r="B1370" s="3">
        <v>35177</v>
      </c>
      <c r="C1370" s="3">
        <v>43944</v>
      </c>
      <c r="D1370" s="2">
        <f t="shared" si="43"/>
        <v>24</v>
      </c>
      <c r="E1370" s="4" t="str" cm="1">
        <f t="array" ref="E1370">_xlfn.IFS(
D1370&lt;=5,"Newcomer",
D1370&lt;=10,"Proficient",
D1370&gt;10,"Expert"
)</f>
        <v>Expert</v>
      </c>
      <c r="F1370" s="2" t="s">
        <v>101</v>
      </c>
      <c r="G1370" s="5" t="s">
        <v>71</v>
      </c>
      <c r="H1370" s="5" t="s">
        <v>116</v>
      </c>
      <c r="I1370" s="2">
        <v>38</v>
      </c>
      <c r="J1370" s="2" t="s">
        <v>17</v>
      </c>
      <c r="K1370" s="2" t="s">
        <v>18</v>
      </c>
      <c r="L1370" s="2" t="s">
        <v>50</v>
      </c>
      <c r="M1370" s="4" t="str">
        <f t="shared" si="42"/>
        <v>Voluntary</v>
      </c>
      <c r="N1370" s="23" t="s">
        <v>26</v>
      </c>
    </row>
    <row r="1371" spans="1:14" x14ac:dyDescent="0.25">
      <c r="A1371" s="22">
        <v>7679</v>
      </c>
      <c r="B1371" s="3">
        <v>40111</v>
      </c>
      <c r="C1371" s="3">
        <v>44118</v>
      </c>
      <c r="D1371" s="2">
        <f t="shared" si="43"/>
        <v>11</v>
      </c>
      <c r="E1371" s="4" t="str" cm="1">
        <f t="array" ref="E1371">_xlfn.IFS(
D1371&lt;=5,"Newcomer",
D1371&lt;=10,"Proficient",
D1371&gt;10,"Expert"
)</f>
        <v>Expert</v>
      </c>
      <c r="F1371" s="2" t="s">
        <v>77</v>
      </c>
      <c r="G1371" s="5" t="s">
        <v>71</v>
      </c>
      <c r="H1371" s="5" t="s">
        <v>116</v>
      </c>
      <c r="I1371" s="2">
        <v>30</v>
      </c>
      <c r="J1371" s="2" t="s">
        <v>24</v>
      </c>
      <c r="K1371" s="2" t="s">
        <v>25</v>
      </c>
      <c r="L1371" s="2" t="s">
        <v>50</v>
      </c>
      <c r="M1371" s="4" t="str">
        <f t="shared" si="42"/>
        <v>Voluntary</v>
      </c>
      <c r="N1371" s="23" t="s">
        <v>26</v>
      </c>
    </row>
    <row r="1372" spans="1:14" x14ac:dyDescent="0.25">
      <c r="A1372" s="22">
        <v>7680</v>
      </c>
      <c r="B1372" s="3">
        <v>37932</v>
      </c>
      <c r="C1372" s="3">
        <v>43849</v>
      </c>
      <c r="D1372" s="2">
        <f t="shared" si="43"/>
        <v>17</v>
      </c>
      <c r="E1372" s="4" t="str" cm="1">
        <f t="array" ref="E1372">_xlfn.IFS(
D1372&lt;=5,"Newcomer",
D1372&lt;=10,"Proficient",
D1372&gt;10,"Expert"
)</f>
        <v>Expert</v>
      </c>
      <c r="F1372" s="2" t="s">
        <v>30</v>
      </c>
      <c r="G1372" s="5" t="s">
        <v>71</v>
      </c>
      <c r="H1372" s="5" t="s">
        <v>116</v>
      </c>
      <c r="I1372" s="2">
        <v>46</v>
      </c>
      <c r="J1372" s="2" t="s">
        <v>17</v>
      </c>
      <c r="K1372" s="2" t="s">
        <v>18</v>
      </c>
      <c r="L1372" s="2" t="s">
        <v>50</v>
      </c>
      <c r="M1372" s="4" t="str">
        <f t="shared" si="42"/>
        <v>Voluntary</v>
      </c>
      <c r="N1372" s="23" t="s">
        <v>26</v>
      </c>
    </row>
    <row r="1373" spans="1:14" x14ac:dyDescent="0.25">
      <c r="A1373" s="22">
        <v>7681</v>
      </c>
      <c r="B1373" s="3">
        <v>36686</v>
      </c>
      <c r="C1373" s="3">
        <v>43955</v>
      </c>
      <c r="D1373" s="2">
        <f t="shared" si="43"/>
        <v>20</v>
      </c>
      <c r="E1373" s="4" t="str" cm="1">
        <f t="array" ref="E1373">_xlfn.IFS(
D1373&lt;=5,"Newcomer",
D1373&lt;=10,"Proficient",
D1373&gt;10,"Expert"
)</f>
        <v>Expert</v>
      </c>
      <c r="F1373" s="2" t="s">
        <v>30</v>
      </c>
      <c r="G1373" s="5" t="s">
        <v>71</v>
      </c>
      <c r="H1373" s="5" t="s">
        <v>116</v>
      </c>
      <c r="I1373" s="2">
        <v>46</v>
      </c>
      <c r="J1373" s="2" t="s">
        <v>17</v>
      </c>
      <c r="K1373" s="2" t="s">
        <v>18</v>
      </c>
      <c r="L1373" s="2" t="s">
        <v>50</v>
      </c>
      <c r="M1373" s="4" t="str">
        <f t="shared" si="42"/>
        <v>Voluntary</v>
      </c>
      <c r="N1373" s="23" t="s">
        <v>26</v>
      </c>
    </row>
    <row r="1374" spans="1:14" x14ac:dyDescent="0.25">
      <c r="A1374" s="22">
        <v>7682</v>
      </c>
      <c r="B1374" s="3">
        <v>34121</v>
      </c>
      <c r="C1374" s="3">
        <v>44066</v>
      </c>
      <c r="D1374" s="2">
        <f t="shared" si="43"/>
        <v>27</v>
      </c>
      <c r="E1374" s="4" t="str" cm="1">
        <f t="array" ref="E1374">_xlfn.IFS(
D1374&lt;=5,"Newcomer",
D1374&lt;=10,"Proficient",
D1374&gt;10,"Expert"
)</f>
        <v>Expert</v>
      </c>
      <c r="F1374" s="2" t="s">
        <v>101</v>
      </c>
      <c r="G1374" s="5" t="s">
        <v>71</v>
      </c>
      <c r="H1374" s="5" t="s">
        <v>116</v>
      </c>
      <c r="I1374" s="2">
        <v>38</v>
      </c>
      <c r="J1374" s="2" t="s">
        <v>24</v>
      </c>
      <c r="K1374" s="2" t="s">
        <v>25</v>
      </c>
      <c r="L1374" s="2" t="s">
        <v>50</v>
      </c>
      <c r="M1374" s="4" t="str">
        <f t="shared" si="42"/>
        <v>Voluntary</v>
      </c>
      <c r="N1374" s="23" t="s">
        <v>26</v>
      </c>
    </row>
    <row r="1375" spans="1:14" x14ac:dyDescent="0.25">
      <c r="A1375" s="22">
        <v>7683</v>
      </c>
      <c r="B1375" s="3">
        <v>32888</v>
      </c>
      <c r="C1375" s="3">
        <v>43919</v>
      </c>
      <c r="D1375" s="2">
        <f t="shared" si="43"/>
        <v>30</v>
      </c>
      <c r="E1375" s="4" t="str" cm="1">
        <f t="array" ref="E1375">_xlfn.IFS(
D1375&lt;=5,"Newcomer",
D1375&lt;=10,"Proficient",
D1375&gt;10,"Expert"
)</f>
        <v>Expert</v>
      </c>
      <c r="F1375" s="2" t="s">
        <v>53</v>
      </c>
      <c r="G1375" s="5" t="s">
        <v>71</v>
      </c>
      <c r="H1375" s="5" t="s">
        <v>116</v>
      </c>
      <c r="I1375" s="2">
        <v>31</v>
      </c>
      <c r="J1375" s="2" t="s">
        <v>17</v>
      </c>
      <c r="K1375" s="2" t="s">
        <v>18</v>
      </c>
      <c r="L1375" s="2" t="s">
        <v>50</v>
      </c>
      <c r="M1375" s="4" t="str">
        <f t="shared" si="42"/>
        <v>Voluntary</v>
      </c>
      <c r="N1375" s="23" t="s">
        <v>26</v>
      </c>
    </row>
    <row r="1376" spans="1:14" x14ac:dyDescent="0.25">
      <c r="A1376" s="22">
        <v>7685</v>
      </c>
      <c r="B1376" s="3">
        <v>40294</v>
      </c>
      <c r="C1376" s="3">
        <v>43936</v>
      </c>
      <c r="D1376" s="2">
        <f t="shared" si="43"/>
        <v>10</v>
      </c>
      <c r="E1376" s="4" t="str" cm="1">
        <f t="array" ref="E1376">_xlfn.IFS(
D1376&lt;=5,"Newcomer",
D1376&lt;=10,"Proficient",
D1376&gt;10,"Expert"
)</f>
        <v>Proficient</v>
      </c>
      <c r="F1376" s="2" t="s">
        <v>30</v>
      </c>
      <c r="G1376" s="5" t="s">
        <v>71</v>
      </c>
      <c r="H1376" s="5" t="s">
        <v>116</v>
      </c>
      <c r="I1376" s="2">
        <v>46</v>
      </c>
      <c r="J1376" s="2" t="s">
        <v>24</v>
      </c>
      <c r="K1376" s="2" t="s">
        <v>25</v>
      </c>
      <c r="L1376" s="2" t="s">
        <v>50</v>
      </c>
      <c r="M1376" s="4" t="str">
        <f t="shared" si="42"/>
        <v>Voluntary</v>
      </c>
      <c r="N1376" s="23" t="s">
        <v>26</v>
      </c>
    </row>
    <row r="1377" spans="1:14" x14ac:dyDescent="0.25">
      <c r="A1377" s="22">
        <v>7686</v>
      </c>
      <c r="B1377" s="3">
        <v>36371</v>
      </c>
      <c r="C1377" s="3">
        <v>44030</v>
      </c>
      <c r="D1377" s="2">
        <f t="shared" si="43"/>
        <v>21</v>
      </c>
      <c r="E1377" s="4" t="str" cm="1">
        <f t="array" ref="E1377">_xlfn.IFS(
D1377&lt;=5,"Newcomer",
D1377&lt;=10,"Proficient",
D1377&gt;10,"Expert"
)</f>
        <v>Expert</v>
      </c>
      <c r="F1377" s="2" t="s">
        <v>41</v>
      </c>
      <c r="G1377" s="5" t="s">
        <v>71</v>
      </c>
      <c r="H1377" s="5" t="s">
        <v>116</v>
      </c>
      <c r="I1377" s="2">
        <v>15</v>
      </c>
      <c r="J1377" s="2" t="s">
        <v>17</v>
      </c>
      <c r="K1377" s="2" t="s">
        <v>18</v>
      </c>
      <c r="L1377" s="2" t="s">
        <v>50</v>
      </c>
      <c r="M1377" s="4" t="str">
        <f t="shared" si="42"/>
        <v>Voluntary</v>
      </c>
      <c r="N1377" s="23" t="s">
        <v>26</v>
      </c>
    </row>
    <row r="1378" spans="1:14" x14ac:dyDescent="0.25">
      <c r="A1378" s="22">
        <v>7687</v>
      </c>
      <c r="B1378" s="3">
        <v>40458</v>
      </c>
      <c r="C1378" s="3">
        <v>43849</v>
      </c>
      <c r="D1378" s="2">
        <f t="shared" si="43"/>
        <v>10</v>
      </c>
      <c r="E1378" s="4" t="str" cm="1">
        <f t="array" ref="E1378">_xlfn.IFS(
D1378&lt;=5,"Newcomer",
D1378&lt;=10,"Proficient",
D1378&gt;10,"Expert"
)</f>
        <v>Proficient</v>
      </c>
      <c r="F1378" s="2" t="s">
        <v>77</v>
      </c>
      <c r="G1378" s="5" t="s">
        <v>71</v>
      </c>
      <c r="H1378" s="5" t="s">
        <v>116</v>
      </c>
      <c r="I1378" s="2">
        <v>30</v>
      </c>
      <c r="J1378" s="2" t="s">
        <v>17</v>
      </c>
      <c r="K1378" s="2" t="s">
        <v>18</v>
      </c>
      <c r="L1378" s="2" t="s">
        <v>50</v>
      </c>
      <c r="M1378" s="4" t="str">
        <f t="shared" si="42"/>
        <v>Voluntary</v>
      </c>
      <c r="N1378" s="23" t="s">
        <v>26</v>
      </c>
    </row>
    <row r="1379" spans="1:14" x14ac:dyDescent="0.25">
      <c r="A1379" s="22">
        <v>7688</v>
      </c>
      <c r="B1379" s="3">
        <v>33124</v>
      </c>
      <c r="C1379" s="3">
        <v>44063</v>
      </c>
      <c r="D1379" s="2">
        <f t="shared" si="43"/>
        <v>30</v>
      </c>
      <c r="E1379" s="4" t="str" cm="1">
        <f t="array" ref="E1379">_xlfn.IFS(
D1379&lt;=5,"Newcomer",
D1379&lt;=10,"Proficient",
D1379&gt;10,"Expert"
)</f>
        <v>Expert</v>
      </c>
      <c r="F1379" s="2" t="s">
        <v>106</v>
      </c>
      <c r="G1379" s="5" t="s">
        <v>67</v>
      </c>
      <c r="H1379" s="5" t="s">
        <v>113</v>
      </c>
      <c r="I1379" s="2">
        <v>20</v>
      </c>
      <c r="J1379" s="2" t="s">
        <v>24</v>
      </c>
      <c r="K1379" s="2" t="s">
        <v>25</v>
      </c>
      <c r="L1379" s="2" t="s">
        <v>96</v>
      </c>
      <c r="M1379" s="4" t="str">
        <f t="shared" si="42"/>
        <v>Involuntary</v>
      </c>
      <c r="N1379" s="23" t="s">
        <v>26</v>
      </c>
    </row>
    <row r="1380" spans="1:14" x14ac:dyDescent="0.25">
      <c r="A1380" s="22">
        <v>7689</v>
      </c>
      <c r="B1380" s="3">
        <v>36897</v>
      </c>
      <c r="C1380" s="3">
        <v>43946</v>
      </c>
      <c r="D1380" s="2">
        <f t="shared" si="43"/>
        <v>19</v>
      </c>
      <c r="E1380" s="4" t="str" cm="1">
        <f t="array" ref="E1380">_xlfn.IFS(
D1380&lt;=5,"Newcomer",
D1380&lt;=10,"Proficient",
D1380&gt;10,"Expert"
)</f>
        <v>Expert</v>
      </c>
      <c r="F1380" s="2" t="s">
        <v>101</v>
      </c>
      <c r="G1380" s="5" t="s">
        <v>71</v>
      </c>
      <c r="H1380" s="5" t="s">
        <v>116</v>
      </c>
      <c r="I1380" s="2">
        <v>38</v>
      </c>
      <c r="J1380" s="2" t="s">
        <v>17</v>
      </c>
      <c r="K1380" s="2" t="s">
        <v>18</v>
      </c>
      <c r="L1380" s="2" t="s">
        <v>50</v>
      </c>
      <c r="M1380" s="4" t="str">
        <f t="shared" si="42"/>
        <v>Voluntary</v>
      </c>
      <c r="N1380" s="23" t="s">
        <v>26</v>
      </c>
    </row>
    <row r="1381" spans="1:14" x14ac:dyDescent="0.25">
      <c r="A1381" s="22">
        <v>7690</v>
      </c>
      <c r="B1381" s="3">
        <v>35306</v>
      </c>
      <c r="C1381" s="3">
        <v>44111</v>
      </c>
      <c r="D1381" s="2">
        <f t="shared" si="43"/>
        <v>24</v>
      </c>
      <c r="E1381" s="4" t="str" cm="1">
        <f t="array" ref="E1381">_xlfn.IFS(
D1381&lt;=5,"Newcomer",
D1381&lt;=10,"Proficient",
D1381&gt;10,"Expert"
)</f>
        <v>Expert</v>
      </c>
      <c r="F1381" s="2" t="s">
        <v>27</v>
      </c>
      <c r="G1381" s="5" t="s">
        <v>71</v>
      </c>
      <c r="H1381" s="5" t="s">
        <v>116</v>
      </c>
      <c r="I1381" s="2">
        <v>16</v>
      </c>
      <c r="J1381" s="2" t="s">
        <v>17</v>
      </c>
      <c r="K1381" s="2" t="s">
        <v>18</v>
      </c>
      <c r="L1381" s="2" t="s">
        <v>50</v>
      </c>
      <c r="M1381" s="4" t="str">
        <f t="shared" si="42"/>
        <v>Voluntary</v>
      </c>
      <c r="N1381" s="23" t="s">
        <v>26</v>
      </c>
    </row>
    <row r="1382" spans="1:14" x14ac:dyDescent="0.25">
      <c r="A1382" s="22">
        <v>7691</v>
      </c>
      <c r="B1382" s="3">
        <v>40553</v>
      </c>
      <c r="C1382" s="3">
        <v>43892</v>
      </c>
      <c r="D1382" s="2">
        <f t="shared" si="43"/>
        <v>9</v>
      </c>
      <c r="E1382" s="4" t="str" cm="1">
        <f t="array" ref="E1382">_xlfn.IFS(
D1382&lt;=5,"Newcomer",
D1382&lt;=10,"Proficient",
D1382&gt;10,"Expert"
)</f>
        <v>Proficient</v>
      </c>
      <c r="F1382" s="2" t="s">
        <v>109</v>
      </c>
      <c r="G1382" s="5" t="s">
        <v>71</v>
      </c>
      <c r="H1382" s="5" t="s">
        <v>116</v>
      </c>
      <c r="I1382" s="2">
        <v>22</v>
      </c>
      <c r="J1382" s="2" t="s">
        <v>24</v>
      </c>
      <c r="K1382" s="2" t="s">
        <v>25</v>
      </c>
      <c r="L1382" s="2" t="s">
        <v>50</v>
      </c>
      <c r="M1382" s="4" t="str">
        <f t="shared" si="42"/>
        <v>Voluntary</v>
      </c>
      <c r="N1382" s="23" t="s">
        <v>26</v>
      </c>
    </row>
    <row r="1383" spans="1:14" x14ac:dyDescent="0.25">
      <c r="A1383" s="22">
        <v>7694</v>
      </c>
      <c r="B1383" s="3">
        <v>41482</v>
      </c>
      <c r="C1383" s="3">
        <v>43916</v>
      </c>
      <c r="D1383" s="2">
        <f t="shared" si="43"/>
        <v>7</v>
      </c>
      <c r="E1383" s="4" t="str" cm="1">
        <f t="array" ref="E1383">_xlfn.IFS(
D1383&lt;=5,"Newcomer",
D1383&lt;=10,"Proficient",
D1383&gt;10,"Expert"
)</f>
        <v>Proficient</v>
      </c>
      <c r="F1383" s="2" t="s">
        <v>44</v>
      </c>
      <c r="G1383" s="5" t="s">
        <v>71</v>
      </c>
      <c r="H1383" s="5" t="s">
        <v>116</v>
      </c>
      <c r="I1383" s="2">
        <v>18</v>
      </c>
      <c r="J1383" s="2" t="s">
        <v>17</v>
      </c>
      <c r="K1383" s="2" t="s">
        <v>18</v>
      </c>
      <c r="L1383" s="2" t="s">
        <v>50</v>
      </c>
      <c r="M1383" s="4" t="str">
        <f t="shared" si="42"/>
        <v>Voluntary</v>
      </c>
      <c r="N1383" s="23" t="s">
        <v>26</v>
      </c>
    </row>
    <row r="1384" spans="1:14" x14ac:dyDescent="0.25">
      <c r="A1384" s="22">
        <v>7695</v>
      </c>
      <c r="B1384" s="3">
        <v>41503</v>
      </c>
      <c r="C1384" s="3">
        <v>44069</v>
      </c>
      <c r="D1384" s="2">
        <f t="shared" si="43"/>
        <v>7</v>
      </c>
      <c r="E1384" s="4" t="str" cm="1">
        <f t="array" ref="E1384">_xlfn.IFS(
D1384&lt;=5,"Newcomer",
D1384&lt;=10,"Proficient",
D1384&gt;10,"Expert"
)</f>
        <v>Proficient</v>
      </c>
      <c r="F1384" s="2" t="s">
        <v>70</v>
      </c>
      <c r="G1384" s="5" t="s">
        <v>71</v>
      </c>
      <c r="H1384" s="5" t="s">
        <v>116</v>
      </c>
      <c r="I1384" s="2">
        <v>6</v>
      </c>
      <c r="J1384" s="2" t="s">
        <v>17</v>
      </c>
      <c r="K1384" s="2" t="s">
        <v>18</v>
      </c>
      <c r="L1384" s="2" t="s">
        <v>50</v>
      </c>
      <c r="M1384" s="4" t="str">
        <f t="shared" si="42"/>
        <v>Voluntary</v>
      </c>
      <c r="N1384" s="23" t="s">
        <v>26</v>
      </c>
    </row>
    <row r="1385" spans="1:14" x14ac:dyDescent="0.25">
      <c r="A1385" s="22">
        <v>7696</v>
      </c>
      <c r="B1385" s="3">
        <v>36454</v>
      </c>
      <c r="C1385" s="3">
        <v>43872</v>
      </c>
      <c r="D1385" s="2">
        <f t="shared" si="43"/>
        <v>21</v>
      </c>
      <c r="E1385" s="4" t="str" cm="1">
        <f t="array" ref="E1385">_xlfn.IFS(
D1385&lt;=5,"Newcomer",
D1385&lt;=10,"Proficient",
D1385&gt;10,"Expert"
)</f>
        <v>Expert</v>
      </c>
      <c r="F1385" s="2" t="s">
        <v>41</v>
      </c>
      <c r="G1385" s="5" t="s">
        <v>71</v>
      </c>
      <c r="H1385" s="5" t="s">
        <v>116</v>
      </c>
      <c r="I1385" s="2">
        <v>15</v>
      </c>
      <c r="J1385" s="2" t="s">
        <v>17</v>
      </c>
      <c r="K1385" s="2" t="s">
        <v>18</v>
      </c>
      <c r="L1385" s="2" t="s">
        <v>50</v>
      </c>
      <c r="M1385" s="4" t="str">
        <f t="shared" si="42"/>
        <v>Voluntary</v>
      </c>
      <c r="N1385" s="23" t="s">
        <v>26</v>
      </c>
    </row>
    <row r="1386" spans="1:14" x14ac:dyDescent="0.25">
      <c r="A1386" s="22">
        <v>7719</v>
      </c>
      <c r="B1386" s="3">
        <v>39059</v>
      </c>
      <c r="C1386" s="3">
        <v>43848</v>
      </c>
      <c r="D1386" s="2">
        <f t="shared" si="43"/>
        <v>14</v>
      </c>
      <c r="E1386" s="4" t="str" cm="1">
        <f t="array" ref="E1386">_xlfn.IFS(
D1386&lt;=5,"Newcomer",
D1386&lt;=10,"Proficient",
D1386&gt;10,"Expert"
)</f>
        <v>Expert</v>
      </c>
      <c r="F1386" s="2" t="s">
        <v>104</v>
      </c>
      <c r="G1386" s="5" t="s">
        <v>71</v>
      </c>
      <c r="H1386" s="5" t="s">
        <v>116</v>
      </c>
      <c r="I1386" s="2">
        <v>39</v>
      </c>
      <c r="J1386" s="2" t="s">
        <v>17</v>
      </c>
      <c r="K1386" s="2" t="s">
        <v>18</v>
      </c>
      <c r="L1386" s="2" t="s">
        <v>96</v>
      </c>
      <c r="M1386" s="4" t="str">
        <f t="shared" si="42"/>
        <v>Involuntary</v>
      </c>
      <c r="N1386" s="23" t="s">
        <v>26</v>
      </c>
    </row>
    <row r="1387" spans="1:14" x14ac:dyDescent="0.25">
      <c r="A1387" s="22">
        <v>7726</v>
      </c>
      <c r="B1387" s="3">
        <v>36157</v>
      </c>
      <c r="C1387" s="3">
        <v>43981</v>
      </c>
      <c r="D1387" s="2">
        <f t="shared" si="43"/>
        <v>22</v>
      </c>
      <c r="E1387" s="4" t="str" cm="1">
        <f t="array" ref="E1387">_xlfn.IFS(
D1387&lt;=5,"Newcomer",
D1387&lt;=10,"Proficient",
D1387&gt;10,"Expert"
)</f>
        <v>Expert</v>
      </c>
      <c r="F1387" s="2" t="s">
        <v>30</v>
      </c>
      <c r="G1387" s="5" t="s">
        <v>71</v>
      </c>
      <c r="H1387" s="5" t="s">
        <v>116</v>
      </c>
      <c r="I1387" s="2">
        <v>46</v>
      </c>
      <c r="J1387" s="2" t="s">
        <v>17</v>
      </c>
      <c r="K1387" s="2" t="s">
        <v>18</v>
      </c>
      <c r="L1387" s="2" t="s">
        <v>50</v>
      </c>
      <c r="M1387" s="4" t="str">
        <f t="shared" si="42"/>
        <v>Voluntary</v>
      </c>
      <c r="N1387" s="23" t="s">
        <v>26</v>
      </c>
    </row>
    <row r="1388" spans="1:14" x14ac:dyDescent="0.25">
      <c r="A1388" s="22">
        <v>7741</v>
      </c>
      <c r="B1388" s="3">
        <v>33989</v>
      </c>
      <c r="C1388" s="3">
        <v>43906</v>
      </c>
      <c r="D1388" s="2">
        <f t="shared" si="43"/>
        <v>27</v>
      </c>
      <c r="E1388" s="4" t="str" cm="1">
        <f t="array" ref="E1388">_xlfn.IFS(
D1388&lt;=5,"Newcomer",
D1388&lt;=10,"Proficient",
D1388&gt;10,"Expert"
)</f>
        <v>Expert</v>
      </c>
      <c r="F1388" s="2" t="s">
        <v>44</v>
      </c>
      <c r="G1388" s="5" t="s">
        <v>71</v>
      </c>
      <c r="H1388" s="5" t="s">
        <v>116</v>
      </c>
      <c r="I1388" s="2">
        <v>18</v>
      </c>
      <c r="J1388" s="2" t="s">
        <v>17</v>
      </c>
      <c r="K1388" s="2" t="s">
        <v>18</v>
      </c>
      <c r="L1388" s="2" t="s">
        <v>50</v>
      </c>
      <c r="M1388" s="4" t="str">
        <f t="shared" si="42"/>
        <v>Voluntary</v>
      </c>
      <c r="N1388" s="23" t="s">
        <v>26</v>
      </c>
    </row>
    <row r="1389" spans="1:14" x14ac:dyDescent="0.25">
      <c r="A1389" s="22">
        <v>7752</v>
      </c>
      <c r="B1389" s="3">
        <v>37525</v>
      </c>
      <c r="C1389" s="3">
        <v>44045</v>
      </c>
      <c r="D1389" s="2">
        <f t="shared" si="43"/>
        <v>18</v>
      </c>
      <c r="E1389" s="4" t="str" cm="1">
        <f t="array" ref="E1389">_xlfn.IFS(
D1389&lt;=5,"Newcomer",
D1389&lt;=10,"Proficient",
D1389&gt;10,"Expert"
)</f>
        <v>Expert</v>
      </c>
      <c r="F1389" s="2" t="s">
        <v>114</v>
      </c>
      <c r="G1389" s="5" t="s">
        <v>71</v>
      </c>
      <c r="H1389" s="5" t="s">
        <v>116</v>
      </c>
      <c r="I1389" s="2">
        <v>27</v>
      </c>
      <c r="J1389" s="2" t="s">
        <v>24</v>
      </c>
      <c r="K1389" s="2" t="s">
        <v>25</v>
      </c>
      <c r="L1389" s="2" t="s">
        <v>96</v>
      </c>
      <c r="M1389" s="4" t="str">
        <f t="shared" si="42"/>
        <v>Involuntary</v>
      </c>
      <c r="N1389" s="23" t="s">
        <v>26</v>
      </c>
    </row>
    <row r="1390" spans="1:14" x14ac:dyDescent="0.25">
      <c r="A1390" s="22">
        <v>7758</v>
      </c>
      <c r="B1390" s="3">
        <v>41664</v>
      </c>
      <c r="C1390" s="3">
        <v>44098</v>
      </c>
      <c r="D1390" s="2">
        <f t="shared" si="43"/>
        <v>6</v>
      </c>
      <c r="E1390" s="4" t="str" cm="1">
        <f t="array" ref="E1390">_xlfn.IFS(
D1390&lt;=5,"Newcomer",
D1390&lt;=10,"Proficient",
D1390&gt;10,"Expert"
)</f>
        <v>Proficient</v>
      </c>
      <c r="F1390" s="2" t="s">
        <v>108</v>
      </c>
      <c r="G1390" s="5" t="s">
        <v>47</v>
      </c>
      <c r="H1390" s="5" t="s">
        <v>95</v>
      </c>
      <c r="I1390" s="2">
        <v>14</v>
      </c>
      <c r="J1390" s="2" t="s">
        <v>24</v>
      </c>
      <c r="K1390" s="2" t="s">
        <v>25</v>
      </c>
      <c r="L1390" s="2" t="s">
        <v>96</v>
      </c>
      <c r="M1390" s="4" t="str">
        <f t="shared" si="42"/>
        <v>Involuntary</v>
      </c>
      <c r="N1390" s="23" t="s">
        <v>26</v>
      </c>
    </row>
    <row r="1391" spans="1:14" x14ac:dyDescent="0.25">
      <c r="A1391" s="22">
        <v>7765</v>
      </c>
      <c r="B1391" s="3">
        <v>39878</v>
      </c>
      <c r="C1391" s="3">
        <v>43900</v>
      </c>
      <c r="D1391" s="2">
        <f t="shared" si="43"/>
        <v>11</v>
      </c>
      <c r="E1391" s="4" t="str" cm="1">
        <f t="array" ref="E1391">_xlfn.IFS(
D1391&lt;=5,"Newcomer",
D1391&lt;=10,"Proficient",
D1391&gt;10,"Expert"
)</f>
        <v>Expert</v>
      </c>
      <c r="F1391" s="2" t="s">
        <v>14</v>
      </c>
      <c r="G1391" s="5" t="s">
        <v>62</v>
      </c>
      <c r="H1391" s="5" t="s">
        <v>63</v>
      </c>
      <c r="I1391" s="2">
        <v>44</v>
      </c>
      <c r="J1391" s="2" t="s">
        <v>24</v>
      </c>
      <c r="K1391" s="2" t="s">
        <v>25</v>
      </c>
      <c r="L1391" s="2" t="s">
        <v>50</v>
      </c>
      <c r="M1391" s="4" t="str">
        <f t="shared" si="42"/>
        <v>Voluntary</v>
      </c>
      <c r="N1391" s="23" t="s">
        <v>26</v>
      </c>
    </row>
    <row r="1392" spans="1:14" x14ac:dyDescent="0.25">
      <c r="A1392" s="22">
        <v>7778</v>
      </c>
      <c r="B1392" s="3">
        <v>34865</v>
      </c>
      <c r="C1392" s="3">
        <v>43873</v>
      </c>
      <c r="D1392" s="2">
        <f t="shared" si="43"/>
        <v>25</v>
      </c>
      <c r="E1392" s="4" t="str" cm="1">
        <f t="array" ref="E1392">_xlfn.IFS(
D1392&lt;=5,"Newcomer",
D1392&lt;=10,"Proficient",
D1392&gt;10,"Expert"
)</f>
        <v>Expert</v>
      </c>
      <c r="F1392" s="2" t="s">
        <v>74</v>
      </c>
      <c r="G1392" s="5" t="s">
        <v>71</v>
      </c>
      <c r="H1392" s="5" t="s">
        <v>116</v>
      </c>
      <c r="I1392" s="2">
        <v>9</v>
      </c>
      <c r="J1392" s="2" t="s">
        <v>17</v>
      </c>
      <c r="K1392" s="2" t="s">
        <v>18</v>
      </c>
      <c r="L1392" s="2" t="s">
        <v>96</v>
      </c>
      <c r="M1392" s="4" t="str">
        <f t="shared" si="42"/>
        <v>Involuntary</v>
      </c>
      <c r="N1392" s="23" t="s">
        <v>26</v>
      </c>
    </row>
    <row r="1393" spans="1:14" x14ac:dyDescent="0.25">
      <c r="A1393" s="22">
        <v>7797</v>
      </c>
      <c r="B1393" s="3">
        <v>39864</v>
      </c>
      <c r="C1393" s="3">
        <v>44075</v>
      </c>
      <c r="D1393" s="2">
        <f t="shared" si="43"/>
        <v>11</v>
      </c>
      <c r="E1393" s="4" t="str" cm="1">
        <f t="array" ref="E1393">_xlfn.IFS(
D1393&lt;=5,"Newcomer",
D1393&lt;=10,"Proficient",
D1393&gt;10,"Expert"
)</f>
        <v>Expert</v>
      </c>
      <c r="F1393" s="2" t="s">
        <v>106</v>
      </c>
      <c r="G1393" s="5" t="s">
        <v>67</v>
      </c>
      <c r="H1393" s="5" t="s">
        <v>113</v>
      </c>
      <c r="I1393" s="2">
        <v>20</v>
      </c>
      <c r="J1393" s="2" t="s">
        <v>24</v>
      </c>
      <c r="K1393" s="2" t="s">
        <v>25</v>
      </c>
      <c r="L1393" s="2" t="s">
        <v>96</v>
      </c>
      <c r="M1393" s="4" t="str">
        <f t="shared" si="42"/>
        <v>Involuntary</v>
      </c>
      <c r="N1393" s="23" t="s">
        <v>26</v>
      </c>
    </row>
    <row r="1394" spans="1:14" x14ac:dyDescent="0.25">
      <c r="A1394" s="22">
        <v>7798</v>
      </c>
      <c r="B1394" s="3">
        <v>36962</v>
      </c>
      <c r="C1394" s="3">
        <v>44042</v>
      </c>
      <c r="D1394" s="2">
        <f t="shared" si="43"/>
        <v>19</v>
      </c>
      <c r="E1394" s="4" t="str" cm="1">
        <f t="array" ref="E1394">_xlfn.IFS(
D1394&lt;=5,"Newcomer",
D1394&lt;=10,"Proficient",
D1394&gt;10,"Expert"
)</f>
        <v>Expert</v>
      </c>
      <c r="F1394" s="2" t="s">
        <v>70</v>
      </c>
      <c r="G1394" s="5" t="s">
        <v>71</v>
      </c>
      <c r="H1394" s="5" t="s">
        <v>116</v>
      </c>
      <c r="I1394" s="2">
        <v>6</v>
      </c>
      <c r="J1394" s="2" t="s">
        <v>17</v>
      </c>
      <c r="K1394" s="2" t="s">
        <v>18</v>
      </c>
      <c r="L1394" s="2" t="s">
        <v>50</v>
      </c>
      <c r="M1394" s="4" t="str">
        <f t="shared" si="42"/>
        <v>Voluntary</v>
      </c>
      <c r="N1394" s="23" t="s">
        <v>26</v>
      </c>
    </row>
    <row r="1395" spans="1:14" x14ac:dyDescent="0.25">
      <c r="A1395" s="22">
        <v>7801</v>
      </c>
      <c r="B1395" s="3">
        <v>37211</v>
      </c>
      <c r="C1395" s="3">
        <v>44160</v>
      </c>
      <c r="D1395" s="2">
        <f t="shared" si="43"/>
        <v>19</v>
      </c>
      <c r="E1395" s="4" t="str" cm="1">
        <f t="array" ref="E1395">_xlfn.IFS(
D1395&lt;=5,"Newcomer",
D1395&lt;=10,"Proficient",
D1395&gt;10,"Expert"
)</f>
        <v>Expert</v>
      </c>
      <c r="F1395" s="2" t="s">
        <v>102</v>
      </c>
      <c r="G1395" s="5" t="s">
        <v>62</v>
      </c>
      <c r="H1395" s="5" t="s">
        <v>63</v>
      </c>
      <c r="I1395" s="2">
        <v>1</v>
      </c>
      <c r="J1395" s="2" t="s">
        <v>24</v>
      </c>
      <c r="K1395" s="2" t="s">
        <v>25</v>
      </c>
      <c r="L1395" s="2" t="s">
        <v>50</v>
      </c>
      <c r="M1395" s="4" t="str">
        <f t="shared" si="42"/>
        <v>Voluntary</v>
      </c>
      <c r="N1395" s="23" t="s">
        <v>26</v>
      </c>
    </row>
    <row r="1396" spans="1:14" x14ac:dyDescent="0.25">
      <c r="A1396" s="22">
        <v>7805</v>
      </c>
      <c r="B1396" s="3">
        <v>35760</v>
      </c>
      <c r="C1396" s="3">
        <v>43885</v>
      </c>
      <c r="D1396" s="2">
        <f t="shared" si="43"/>
        <v>23</v>
      </c>
      <c r="E1396" s="4" t="str" cm="1">
        <f t="array" ref="E1396">_xlfn.IFS(
D1396&lt;=5,"Newcomer",
D1396&lt;=10,"Proficient",
D1396&gt;10,"Expert"
)</f>
        <v>Expert</v>
      </c>
      <c r="F1396" s="2" t="s">
        <v>106</v>
      </c>
      <c r="G1396" s="5" t="s">
        <v>71</v>
      </c>
      <c r="H1396" s="5" t="s">
        <v>116</v>
      </c>
      <c r="I1396" s="2">
        <v>20</v>
      </c>
      <c r="J1396" s="2" t="s">
        <v>24</v>
      </c>
      <c r="K1396" s="2" t="s">
        <v>25</v>
      </c>
      <c r="L1396" s="2" t="s">
        <v>96</v>
      </c>
      <c r="M1396" s="4" t="str">
        <f t="shared" si="42"/>
        <v>Involuntary</v>
      </c>
      <c r="N1396" s="23" t="s">
        <v>26</v>
      </c>
    </row>
    <row r="1397" spans="1:14" x14ac:dyDescent="0.25">
      <c r="A1397" s="22">
        <v>7842</v>
      </c>
      <c r="B1397" s="3">
        <v>38909</v>
      </c>
      <c r="C1397" s="3">
        <v>43946</v>
      </c>
      <c r="D1397" s="2">
        <f t="shared" si="43"/>
        <v>14</v>
      </c>
      <c r="E1397" s="4" t="str" cm="1">
        <f t="array" ref="E1397">_xlfn.IFS(
D1397&lt;=5,"Newcomer",
D1397&lt;=10,"Proficient",
D1397&gt;10,"Expert"
)</f>
        <v>Expert</v>
      </c>
      <c r="F1397" s="2" t="s">
        <v>14</v>
      </c>
      <c r="G1397" s="5" t="s">
        <v>67</v>
      </c>
      <c r="H1397" s="5" t="s">
        <v>113</v>
      </c>
      <c r="I1397" s="2">
        <v>44</v>
      </c>
      <c r="J1397" s="2" t="s">
        <v>24</v>
      </c>
      <c r="K1397" s="2" t="s">
        <v>25</v>
      </c>
      <c r="L1397" s="2" t="s">
        <v>50</v>
      </c>
      <c r="M1397" s="4" t="str">
        <f t="shared" si="42"/>
        <v>Voluntary</v>
      </c>
      <c r="N1397" s="23" t="s">
        <v>26</v>
      </c>
    </row>
    <row r="1398" spans="1:14" x14ac:dyDescent="0.25">
      <c r="A1398" s="22">
        <v>7844</v>
      </c>
      <c r="B1398" s="3">
        <v>40383</v>
      </c>
      <c r="C1398" s="3">
        <v>44086</v>
      </c>
      <c r="D1398" s="2">
        <f t="shared" si="43"/>
        <v>10</v>
      </c>
      <c r="E1398" s="4" t="str" cm="1">
        <f t="array" ref="E1398">_xlfn.IFS(
D1398&lt;=5,"Newcomer",
D1398&lt;=10,"Proficient",
D1398&gt;10,"Expert"
)</f>
        <v>Proficient</v>
      </c>
      <c r="F1398" s="2" t="s">
        <v>14</v>
      </c>
      <c r="G1398" s="5" t="s">
        <v>67</v>
      </c>
      <c r="H1398" s="5" t="s">
        <v>113</v>
      </c>
      <c r="I1398" s="2">
        <v>44</v>
      </c>
      <c r="J1398" s="2" t="s">
        <v>17</v>
      </c>
      <c r="K1398" s="2" t="s">
        <v>18</v>
      </c>
      <c r="L1398" s="2" t="s">
        <v>50</v>
      </c>
      <c r="M1398" s="4" t="str">
        <f t="shared" si="42"/>
        <v>Voluntary</v>
      </c>
      <c r="N1398" s="23" t="s">
        <v>26</v>
      </c>
    </row>
    <row r="1399" spans="1:14" x14ac:dyDescent="0.25">
      <c r="A1399" s="22">
        <v>7854</v>
      </c>
      <c r="B1399" s="3">
        <v>37958</v>
      </c>
      <c r="C1399" s="3">
        <v>44063</v>
      </c>
      <c r="D1399" s="2">
        <f t="shared" si="43"/>
        <v>17</v>
      </c>
      <c r="E1399" s="4" t="str" cm="1">
        <f t="array" ref="E1399">_xlfn.IFS(
D1399&lt;=5,"Newcomer",
D1399&lt;=10,"Proficient",
D1399&gt;10,"Expert"
)</f>
        <v>Expert</v>
      </c>
      <c r="F1399" s="2" t="s">
        <v>114</v>
      </c>
      <c r="G1399" s="5" t="s">
        <v>71</v>
      </c>
      <c r="H1399" s="5" t="s">
        <v>116</v>
      </c>
      <c r="I1399" s="2">
        <v>27</v>
      </c>
      <c r="J1399" s="2" t="s">
        <v>24</v>
      </c>
      <c r="K1399" s="2" t="s">
        <v>25</v>
      </c>
      <c r="L1399" s="2" t="s">
        <v>96</v>
      </c>
      <c r="M1399" s="4" t="str">
        <f t="shared" si="42"/>
        <v>Involuntary</v>
      </c>
      <c r="N1399" s="23" t="s">
        <v>26</v>
      </c>
    </row>
    <row r="1400" spans="1:14" x14ac:dyDescent="0.25">
      <c r="A1400" s="22">
        <v>7856</v>
      </c>
      <c r="B1400" s="3">
        <v>38231</v>
      </c>
      <c r="C1400" s="3">
        <v>43861</v>
      </c>
      <c r="D1400" s="2">
        <f t="shared" si="43"/>
        <v>16</v>
      </c>
      <c r="E1400" s="4" t="str" cm="1">
        <f t="array" ref="E1400">_xlfn.IFS(
D1400&lt;=5,"Newcomer",
D1400&lt;=10,"Proficient",
D1400&gt;10,"Expert"
)</f>
        <v>Expert</v>
      </c>
      <c r="F1400" s="2" t="s">
        <v>108</v>
      </c>
      <c r="G1400" s="5" t="s">
        <v>62</v>
      </c>
      <c r="H1400" s="5" t="s">
        <v>63</v>
      </c>
      <c r="I1400" s="2">
        <v>14</v>
      </c>
      <c r="J1400" s="2" t="s">
        <v>24</v>
      </c>
      <c r="K1400" s="2" t="s">
        <v>25</v>
      </c>
      <c r="L1400" s="2" t="s">
        <v>96</v>
      </c>
      <c r="M1400" s="4" t="str">
        <f t="shared" si="42"/>
        <v>Involuntary</v>
      </c>
      <c r="N1400" s="23" t="s">
        <v>26</v>
      </c>
    </row>
    <row r="1401" spans="1:14" x14ac:dyDescent="0.25">
      <c r="A1401" s="22">
        <v>7911</v>
      </c>
      <c r="B1401" s="3">
        <v>36710</v>
      </c>
      <c r="C1401" s="3">
        <v>43878</v>
      </c>
      <c r="D1401" s="2">
        <f t="shared" si="43"/>
        <v>20</v>
      </c>
      <c r="E1401" s="4" t="str" cm="1">
        <f t="array" ref="E1401">_xlfn.IFS(
D1401&lt;=5,"Newcomer",
D1401&lt;=10,"Proficient",
D1401&gt;10,"Expert"
)</f>
        <v>Expert</v>
      </c>
      <c r="F1401" s="2" t="s">
        <v>107</v>
      </c>
      <c r="G1401" s="5" t="s">
        <v>71</v>
      </c>
      <c r="H1401" s="5" t="s">
        <v>116</v>
      </c>
      <c r="I1401" s="2">
        <v>11</v>
      </c>
      <c r="J1401" s="2" t="s">
        <v>17</v>
      </c>
      <c r="K1401" s="2" t="s">
        <v>18</v>
      </c>
      <c r="L1401" s="2" t="s">
        <v>96</v>
      </c>
      <c r="M1401" s="4" t="str">
        <f t="shared" si="42"/>
        <v>Involuntary</v>
      </c>
      <c r="N1401" s="23" t="s">
        <v>26</v>
      </c>
    </row>
    <row r="1402" spans="1:14" x14ac:dyDescent="0.25">
      <c r="A1402" s="22">
        <v>7937</v>
      </c>
      <c r="B1402" s="3">
        <v>41859</v>
      </c>
      <c r="C1402" s="3">
        <v>43966</v>
      </c>
      <c r="D1402" s="2">
        <f t="shared" si="43"/>
        <v>6</v>
      </c>
      <c r="E1402" s="4" t="str" cm="1">
        <f t="array" ref="E1402">_xlfn.IFS(
D1402&lt;=5,"Newcomer",
D1402&lt;=10,"Proficient",
D1402&gt;10,"Expert"
)</f>
        <v>Proficient</v>
      </c>
      <c r="F1402" s="2" t="s">
        <v>14</v>
      </c>
      <c r="G1402" s="5" t="s">
        <v>67</v>
      </c>
      <c r="H1402" s="5" t="s">
        <v>113</v>
      </c>
      <c r="I1402" s="2">
        <v>44</v>
      </c>
      <c r="J1402" s="2" t="s">
        <v>24</v>
      </c>
      <c r="K1402" s="2" t="s">
        <v>25</v>
      </c>
      <c r="L1402" s="2" t="s">
        <v>50</v>
      </c>
      <c r="M1402" s="4" t="str">
        <f t="shared" si="42"/>
        <v>Voluntary</v>
      </c>
      <c r="N1402" s="23" t="s">
        <v>26</v>
      </c>
    </row>
    <row r="1403" spans="1:14" x14ac:dyDescent="0.25">
      <c r="A1403" s="22">
        <v>7949</v>
      </c>
      <c r="B1403" s="3">
        <v>40050</v>
      </c>
      <c r="C1403" s="3">
        <v>43843</v>
      </c>
      <c r="D1403" s="2">
        <f t="shared" si="43"/>
        <v>11</v>
      </c>
      <c r="E1403" s="4" t="str" cm="1">
        <f t="array" ref="E1403">_xlfn.IFS(
D1403&lt;=5,"Newcomer",
D1403&lt;=10,"Proficient",
D1403&gt;10,"Expert"
)</f>
        <v>Expert</v>
      </c>
      <c r="F1403" s="2" t="s">
        <v>107</v>
      </c>
      <c r="G1403" s="5" t="s">
        <v>71</v>
      </c>
      <c r="H1403" s="5" t="s">
        <v>116</v>
      </c>
      <c r="I1403" s="2">
        <v>11</v>
      </c>
      <c r="J1403" s="2" t="s">
        <v>24</v>
      </c>
      <c r="K1403" s="2" t="s">
        <v>25</v>
      </c>
      <c r="L1403" s="2" t="s">
        <v>96</v>
      </c>
      <c r="M1403" s="4" t="str">
        <f t="shared" si="42"/>
        <v>Involuntary</v>
      </c>
      <c r="N1403" s="23" t="s">
        <v>26</v>
      </c>
    </row>
    <row r="1404" spans="1:14" x14ac:dyDescent="0.25">
      <c r="A1404" s="22">
        <v>7973</v>
      </c>
      <c r="B1404" s="3">
        <v>35167</v>
      </c>
      <c r="C1404" s="3">
        <v>43879</v>
      </c>
      <c r="D1404" s="2">
        <f t="shared" si="43"/>
        <v>24</v>
      </c>
      <c r="E1404" s="4" t="str" cm="1">
        <f t="array" ref="E1404">_xlfn.IFS(
D1404&lt;=5,"Newcomer",
D1404&lt;=10,"Proficient",
D1404&gt;10,"Expert"
)</f>
        <v>Expert</v>
      </c>
      <c r="F1404" s="2" t="s">
        <v>114</v>
      </c>
      <c r="G1404" s="5" t="s">
        <v>71</v>
      </c>
      <c r="H1404" s="5" t="s">
        <v>116</v>
      </c>
      <c r="I1404" s="2">
        <v>27</v>
      </c>
      <c r="J1404" s="2" t="s">
        <v>24</v>
      </c>
      <c r="K1404" s="2" t="s">
        <v>25</v>
      </c>
      <c r="L1404" s="2" t="s">
        <v>96</v>
      </c>
      <c r="M1404" s="4" t="str">
        <f t="shared" si="42"/>
        <v>Involuntary</v>
      </c>
      <c r="N1404" s="23" t="s">
        <v>26</v>
      </c>
    </row>
    <row r="1405" spans="1:14" x14ac:dyDescent="0.25">
      <c r="A1405" s="22">
        <v>7976</v>
      </c>
      <c r="B1405" s="3">
        <v>42241</v>
      </c>
      <c r="C1405" s="3">
        <v>44058</v>
      </c>
      <c r="D1405" s="2">
        <f t="shared" si="43"/>
        <v>5</v>
      </c>
      <c r="E1405" s="4" t="str" cm="1">
        <f t="array" ref="E1405">_xlfn.IFS(
D1405&lt;=5,"Newcomer",
D1405&lt;=10,"Proficient",
D1405&gt;10,"Expert"
)</f>
        <v>Newcomer</v>
      </c>
      <c r="F1405" s="2" t="s">
        <v>107</v>
      </c>
      <c r="G1405" s="5" t="s">
        <v>71</v>
      </c>
      <c r="H1405" s="5" t="s">
        <v>116</v>
      </c>
      <c r="I1405" s="2">
        <v>11</v>
      </c>
      <c r="J1405" s="2" t="s">
        <v>24</v>
      </c>
      <c r="K1405" s="2" t="s">
        <v>25</v>
      </c>
      <c r="L1405" s="2" t="s">
        <v>96</v>
      </c>
      <c r="M1405" s="4" t="str">
        <f t="shared" si="42"/>
        <v>Involuntary</v>
      </c>
      <c r="N1405" s="23" t="s">
        <v>26</v>
      </c>
    </row>
    <row r="1406" spans="1:14" x14ac:dyDescent="0.25">
      <c r="A1406" s="22">
        <v>7997</v>
      </c>
      <c r="B1406" s="3">
        <v>33248</v>
      </c>
      <c r="C1406" s="3">
        <v>44095</v>
      </c>
      <c r="D1406" s="2">
        <f t="shared" si="43"/>
        <v>29</v>
      </c>
      <c r="E1406" s="4" t="str" cm="1">
        <f t="array" ref="E1406">_xlfn.IFS(
D1406&lt;=5,"Newcomer",
D1406&lt;=10,"Proficient",
D1406&gt;10,"Expert"
)</f>
        <v>Expert</v>
      </c>
      <c r="F1406" s="2" t="s">
        <v>74</v>
      </c>
      <c r="G1406" s="5" t="s">
        <v>71</v>
      </c>
      <c r="H1406" s="5" t="s">
        <v>116</v>
      </c>
      <c r="I1406" s="2">
        <v>9</v>
      </c>
      <c r="J1406" s="2" t="s">
        <v>24</v>
      </c>
      <c r="K1406" s="2" t="s">
        <v>25</v>
      </c>
      <c r="L1406" s="2" t="s">
        <v>96</v>
      </c>
      <c r="M1406" s="4" t="str">
        <f t="shared" si="42"/>
        <v>Involuntary</v>
      </c>
      <c r="N1406" s="23" t="s">
        <v>26</v>
      </c>
    </row>
    <row r="1407" spans="1:14" x14ac:dyDescent="0.25">
      <c r="A1407" s="22">
        <v>8008</v>
      </c>
      <c r="B1407" s="3">
        <v>42096</v>
      </c>
      <c r="C1407" s="3">
        <v>43930</v>
      </c>
      <c r="D1407" s="2">
        <f t="shared" si="43"/>
        <v>5</v>
      </c>
      <c r="E1407" s="4" t="str" cm="1">
        <f t="array" ref="E1407">_xlfn.IFS(
D1407&lt;=5,"Newcomer",
D1407&lt;=10,"Proficient",
D1407&gt;10,"Expert"
)</f>
        <v>Newcomer</v>
      </c>
      <c r="F1407" s="2" t="s">
        <v>14</v>
      </c>
      <c r="G1407" s="5" t="s">
        <v>71</v>
      </c>
      <c r="H1407" s="5" t="s">
        <v>116</v>
      </c>
      <c r="I1407" s="2">
        <v>44</v>
      </c>
      <c r="J1407" s="2" t="s">
        <v>17</v>
      </c>
      <c r="K1407" s="2" t="s">
        <v>18</v>
      </c>
      <c r="L1407" s="2" t="s">
        <v>50</v>
      </c>
      <c r="M1407" s="4" t="str">
        <f t="shared" si="42"/>
        <v>Voluntary</v>
      </c>
      <c r="N1407" s="23" t="s">
        <v>26</v>
      </c>
    </row>
    <row r="1408" spans="1:14" x14ac:dyDescent="0.25">
      <c r="A1408" s="22">
        <v>8013</v>
      </c>
      <c r="B1408" s="3">
        <v>38645</v>
      </c>
      <c r="C1408" s="3">
        <v>43854</v>
      </c>
      <c r="D1408" s="2">
        <f t="shared" si="43"/>
        <v>15</v>
      </c>
      <c r="E1408" s="4" t="str" cm="1">
        <f t="array" ref="E1408">_xlfn.IFS(
D1408&lt;=5,"Newcomer",
D1408&lt;=10,"Proficient",
D1408&gt;10,"Expert"
)</f>
        <v>Expert</v>
      </c>
      <c r="F1408" s="2" t="s">
        <v>87</v>
      </c>
      <c r="G1408" s="5" t="s">
        <v>71</v>
      </c>
      <c r="H1408" s="5" t="s">
        <v>116</v>
      </c>
      <c r="I1408" s="2">
        <v>40</v>
      </c>
      <c r="J1408" s="2" t="s">
        <v>17</v>
      </c>
      <c r="K1408" s="2" t="s">
        <v>18</v>
      </c>
      <c r="L1408" s="2" t="s">
        <v>50</v>
      </c>
      <c r="M1408" s="4" t="str">
        <f t="shared" si="42"/>
        <v>Voluntary</v>
      </c>
      <c r="N1408" s="23" t="s">
        <v>26</v>
      </c>
    </row>
    <row r="1409" spans="1:14" x14ac:dyDescent="0.25">
      <c r="A1409" s="22">
        <v>8014</v>
      </c>
      <c r="B1409" s="3">
        <v>34912</v>
      </c>
      <c r="C1409" s="3">
        <v>43937</v>
      </c>
      <c r="D1409" s="2">
        <f t="shared" si="43"/>
        <v>25</v>
      </c>
      <c r="E1409" s="4" t="str" cm="1">
        <f t="array" ref="E1409">_xlfn.IFS(
D1409&lt;=5,"Newcomer",
D1409&lt;=10,"Proficient",
D1409&gt;10,"Expert"
)</f>
        <v>Expert</v>
      </c>
      <c r="F1409" s="2" t="s">
        <v>30</v>
      </c>
      <c r="G1409" s="5" t="s">
        <v>71</v>
      </c>
      <c r="H1409" s="5" t="s">
        <v>116</v>
      </c>
      <c r="I1409" s="2">
        <v>46</v>
      </c>
      <c r="J1409" s="2" t="s">
        <v>24</v>
      </c>
      <c r="K1409" s="2" t="s">
        <v>25</v>
      </c>
      <c r="L1409" s="2" t="s">
        <v>50</v>
      </c>
      <c r="M1409" s="4" t="str">
        <f t="shared" si="42"/>
        <v>Voluntary</v>
      </c>
      <c r="N1409" s="23" t="s">
        <v>26</v>
      </c>
    </row>
    <row r="1410" spans="1:14" x14ac:dyDescent="0.25">
      <c r="A1410" s="22">
        <v>8015</v>
      </c>
      <c r="B1410" s="3">
        <v>34150</v>
      </c>
      <c r="C1410" s="3">
        <v>44046</v>
      </c>
      <c r="D1410" s="2">
        <f t="shared" si="43"/>
        <v>27</v>
      </c>
      <c r="E1410" s="4" t="str" cm="1">
        <f t="array" ref="E1410">_xlfn.IFS(
D1410&lt;=5,"Newcomer",
D1410&lt;=10,"Proficient",
D1410&gt;10,"Expert"
)</f>
        <v>Expert</v>
      </c>
      <c r="F1410" s="2" t="s">
        <v>27</v>
      </c>
      <c r="G1410" s="5" t="s">
        <v>71</v>
      </c>
      <c r="H1410" s="5" t="s">
        <v>116</v>
      </c>
      <c r="I1410" s="2">
        <v>16</v>
      </c>
      <c r="J1410" s="2" t="s">
        <v>24</v>
      </c>
      <c r="K1410" s="2" t="s">
        <v>25</v>
      </c>
      <c r="L1410" s="2" t="s">
        <v>50</v>
      </c>
      <c r="M1410" s="4" t="str">
        <f t="shared" ref="M1410:M1473" si="44">IF(OR(L1410="Retirement",L1410="Resignation"),"Voluntary","Involuntary")</f>
        <v>Voluntary</v>
      </c>
      <c r="N1410" s="23" t="s">
        <v>26</v>
      </c>
    </row>
    <row r="1411" spans="1:14" x14ac:dyDescent="0.25">
      <c r="A1411" s="22">
        <v>8016</v>
      </c>
      <c r="B1411" s="3">
        <v>37658</v>
      </c>
      <c r="C1411" s="3">
        <v>43841</v>
      </c>
      <c r="D1411" s="2">
        <f t="shared" ref="D1411:D1474" si="45">YEAR(C1411)-YEAR(B1411)</f>
        <v>17</v>
      </c>
      <c r="E1411" s="4" t="str" cm="1">
        <f t="array" ref="E1411">_xlfn.IFS(
D1411&lt;=5,"Newcomer",
D1411&lt;=10,"Proficient",
D1411&gt;10,"Expert"
)</f>
        <v>Expert</v>
      </c>
      <c r="F1411" s="2" t="s">
        <v>14</v>
      </c>
      <c r="G1411" s="5" t="s">
        <v>71</v>
      </c>
      <c r="H1411" s="5" t="s">
        <v>116</v>
      </c>
      <c r="I1411" s="2">
        <v>44</v>
      </c>
      <c r="J1411" s="2" t="s">
        <v>17</v>
      </c>
      <c r="K1411" s="2" t="s">
        <v>18</v>
      </c>
      <c r="L1411" s="2" t="s">
        <v>50</v>
      </c>
      <c r="M1411" s="4" t="str">
        <f t="shared" si="44"/>
        <v>Voluntary</v>
      </c>
      <c r="N1411" s="23" t="s">
        <v>26</v>
      </c>
    </row>
    <row r="1412" spans="1:14" x14ac:dyDescent="0.25">
      <c r="A1412" s="22">
        <v>8017</v>
      </c>
      <c r="B1412" s="3">
        <v>41304</v>
      </c>
      <c r="C1412" s="3">
        <v>43853</v>
      </c>
      <c r="D1412" s="2">
        <f t="shared" si="45"/>
        <v>7</v>
      </c>
      <c r="E1412" s="4" t="str" cm="1">
        <f t="array" ref="E1412">_xlfn.IFS(
D1412&lt;=5,"Newcomer",
D1412&lt;=10,"Proficient",
D1412&gt;10,"Expert"
)</f>
        <v>Proficient</v>
      </c>
      <c r="F1412" s="2" t="s">
        <v>112</v>
      </c>
      <c r="G1412" s="5" t="s">
        <v>62</v>
      </c>
      <c r="H1412" s="5" t="s">
        <v>63</v>
      </c>
      <c r="I1412" s="2">
        <v>24</v>
      </c>
      <c r="J1412" s="2" t="s">
        <v>24</v>
      </c>
      <c r="K1412" s="2" t="s">
        <v>25</v>
      </c>
      <c r="L1412" s="2" t="s">
        <v>96</v>
      </c>
      <c r="M1412" s="4" t="str">
        <f t="shared" si="44"/>
        <v>Involuntary</v>
      </c>
      <c r="N1412" s="23" t="s">
        <v>26</v>
      </c>
    </row>
    <row r="1413" spans="1:14" x14ac:dyDescent="0.25">
      <c r="A1413" s="22">
        <v>8018</v>
      </c>
      <c r="B1413" s="3">
        <v>37604</v>
      </c>
      <c r="C1413" s="3">
        <v>44011</v>
      </c>
      <c r="D1413" s="2">
        <f t="shared" si="45"/>
        <v>18</v>
      </c>
      <c r="E1413" s="4" t="str" cm="1">
        <f t="array" ref="E1413">_xlfn.IFS(
D1413&lt;=5,"Newcomer",
D1413&lt;=10,"Proficient",
D1413&gt;10,"Expert"
)</f>
        <v>Expert</v>
      </c>
      <c r="F1413" s="2" t="s">
        <v>66</v>
      </c>
      <c r="G1413" s="5" t="s">
        <v>71</v>
      </c>
      <c r="H1413" s="5" t="s">
        <v>116</v>
      </c>
      <c r="I1413" s="2">
        <v>36</v>
      </c>
      <c r="J1413" s="2" t="s">
        <v>24</v>
      </c>
      <c r="K1413" s="2" t="s">
        <v>25</v>
      </c>
      <c r="L1413" s="2" t="s">
        <v>50</v>
      </c>
      <c r="M1413" s="4" t="str">
        <f t="shared" si="44"/>
        <v>Voluntary</v>
      </c>
      <c r="N1413" s="23" t="s">
        <v>26</v>
      </c>
    </row>
    <row r="1414" spans="1:14" x14ac:dyDescent="0.25">
      <c r="A1414" s="22">
        <v>8019</v>
      </c>
      <c r="B1414" s="3">
        <v>37692</v>
      </c>
      <c r="C1414" s="3">
        <v>43975</v>
      </c>
      <c r="D1414" s="2">
        <f t="shared" si="45"/>
        <v>17</v>
      </c>
      <c r="E1414" s="4" t="str" cm="1">
        <f t="array" ref="E1414">_xlfn.IFS(
D1414&lt;=5,"Newcomer",
D1414&lt;=10,"Proficient",
D1414&gt;10,"Expert"
)</f>
        <v>Expert</v>
      </c>
      <c r="F1414" s="2" t="s">
        <v>30</v>
      </c>
      <c r="G1414" s="5" t="s">
        <v>71</v>
      </c>
      <c r="H1414" s="5" t="s">
        <v>116</v>
      </c>
      <c r="I1414" s="2">
        <v>46</v>
      </c>
      <c r="J1414" s="2" t="s">
        <v>17</v>
      </c>
      <c r="K1414" s="2" t="s">
        <v>18</v>
      </c>
      <c r="L1414" s="2" t="s">
        <v>50</v>
      </c>
      <c r="M1414" s="4" t="str">
        <f t="shared" si="44"/>
        <v>Voluntary</v>
      </c>
      <c r="N1414" s="23" t="s">
        <v>26</v>
      </c>
    </row>
    <row r="1415" spans="1:14" x14ac:dyDescent="0.25">
      <c r="A1415" s="22">
        <v>8020</v>
      </c>
      <c r="B1415" s="3">
        <v>41979</v>
      </c>
      <c r="C1415" s="3">
        <v>44079</v>
      </c>
      <c r="D1415" s="2">
        <f t="shared" si="45"/>
        <v>6</v>
      </c>
      <c r="E1415" s="4" t="str" cm="1">
        <f t="array" ref="E1415">_xlfn.IFS(
D1415&lt;=5,"Newcomer",
D1415&lt;=10,"Proficient",
D1415&gt;10,"Expert"
)</f>
        <v>Proficient</v>
      </c>
      <c r="F1415" s="2" t="s">
        <v>27</v>
      </c>
      <c r="G1415" s="5" t="s">
        <v>71</v>
      </c>
      <c r="H1415" s="5" t="s">
        <v>116</v>
      </c>
      <c r="I1415" s="2">
        <v>16</v>
      </c>
      <c r="J1415" s="2" t="s">
        <v>17</v>
      </c>
      <c r="K1415" s="2" t="s">
        <v>18</v>
      </c>
      <c r="L1415" s="2" t="s">
        <v>50</v>
      </c>
      <c r="M1415" s="4" t="str">
        <f t="shared" si="44"/>
        <v>Voluntary</v>
      </c>
      <c r="N1415" s="23" t="s">
        <v>26</v>
      </c>
    </row>
    <row r="1416" spans="1:14" x14ac:dyDescent="0.25">
      <c r="A1416" s="22">
        <v>8021</v>
      </c>
      <c r="B1416" s="3">
        <v>37530</v>
      </c>
      <c r="C1416" s="3">
        <v>44079</v>
      </c>
      <c r="D1416" s="2">
        <f t="shared" si="45"/>
        <v>18</v>
      </c>
      <c r="E1416" s="4" t="str" cm="1">
        <f t="array" ref="E1416">_xlfn.IFS(
D1416&lt;=5,"Newcomer",
D1416&lt;=10,"Proficient",
D1416&gt;10,"Expert"
)</f>
        <v>Expert</v>
      </c>
      <c r="F1416" s="2" t="s">
        <v>41</v>
      </c>
      <c r="G1416" s="5" t="s">
        <v>71</v>
      </c>
      <c r="H1416" s="5" t="s">
        <v>116</v>
      </c>
      <c r="I1416" s="2">
        <v>15</v>
      </c>
      <c r="J1416" s="2" t="s">
        <v>17</v>
      </c>
      <c r="K1416" s="2" t="s">
        <v>18</v>
      </c>
      <c r="L1416" s="2" t="s">
        <v>50</v>
      </c>
      <c r="M1416" s="4" t="str">
        <f t="shared" si="44"/>
        <v>Voluntary</v>
      </c>
      <c r="N1416" s="23" t="s">
        <v>26</v>
      </c>
    </row>
    <row r="1417" spans="1:14" x14ac:dyDescent="0.25">
      <c r="A1417" s="22">
        <v>8022</v>
      </c>
      <c r="B1417" s="3">
        <v>36534</v>
      </c>
      <c r="C1417" s="3">
        <v>43849</v>
      </c>
      <c r="D1417" s="2">
        <f t="shared" si="45"/>
        <v>20</v>
      </c>
      <c r="E1417" s="4" t="str" cm="1">
        <f t="array" ref="E1417">_xlfn.IFS(
D1417&lt;=5,"Newcomer",
D1417&lt;=10,"Proficient",
D1417&gt;10,"Expert"
)</f>
        <v>Expert</v>
      </c>
      <c r="F1417" s="2" t="s">
        <v>78</v>
      </c>
      <c r="G1417" s="5" t="s">
        <v>71</v>
      </c>
      <c r="H1417" s="5" t="s">
        <v>116</v>
      </c>
      <c r="I1417" s="2">
        <v>21</v>
      </c>
      <c r="J1417" s="2" t="s">
        <v>24</v>
      </c>
      <c r="K1417" s="2" t="s">
        <v>25</v>
      </c>
      <c r="L1417" s="2" t="s">
        <v>50</v>
      </c>
      <c r="M1417" s="4" t="str">
        <f t="shared" si="44"/>
        <v>Voluntary</v>
      </c>
      <c r="N1417" s="23" t="s">
        <v>26</v>
      </c>
    </row>
    <row r="1418" spans="1:14" x14ac:dyDescent="0.25">
      <c r="A1418" s="22">
        <v>8023</v>
      </c>
      <c r="B1418" s="3">
        <v>37064</v>
      </c>
      <c r="C1418" s="3">
        <v>43849</v>
      </c>
      <c r="D1418" s="2">
        <f t="shared" si="45"/>
        <v>19</v>
      </c>
      <c r="E1418" s="4" t="str" cm="1">
        <f t="array" ref="E1418">_xlfn.IFS(
D1418&lt;=5,"Newcomer",
D1418&lt;=10,"Proficient",
D1418&gt;10,"Expert"
)</f>
        <v>Expert</v>
      </c>
      <c r="F1418" s="2" t="s">
        <v>14</v>
      </c>
      <c r="G1418" s="5" t="s">
        <v>71</v>
      </c>
      <c r="H1418" s="5" t="s">
        <v>116</v>
      </c>
      <c r="I1418" s="2">
        <v>44</v>
      </c>
      <c r="J1418" s="2" t="s">
        <v>17</v>
      </c>
      <c r="K1418" s="2" t="s">
        <v>18</v>
      </c>
      <c r="L1418" s="2" t="s">
        <v>50</v>
      </c>
      <c r="M1418" s="4" t="str">
        <f t="shared" si="44"/>
        <v>Voluntary</v>
      </c>
      <c r="N1418" s="23" t="s">
        <v>26</v>
      </c>
    </row>
    <row r="1419" spans="1:14" x14ac:dyDescent="0.25">
      <c r="A1419" s="22">
        <v>8024</v>
      </c>
      <c r="B1419" s="3">
        <v>35248</v>
      </c>
      <c r="C1419" s="3">
        <v>43938</v>
      </c>
      <c r="D1419" s="2">
        <f t="shared" si="45"/>
        <v>24</v>
      </c>
      <c r="E1419" s="4" t="str" cm="1">
        <f t="array" ref="E1419">_xlfn.IFS(
D1419&lt;=5,"Newcomer",
D1419&lt;=10,"Proficient",
D1419&gt;10,"Expert"
)</f>
        <v>Expert</v>
      </c>
      <c r="F1419" s="2" t="s">
        <v>78</v>
      </c>
      <c r="G1419" s="5" t="s">
        <v>71</v>
      </c>
      <c r="H1419" s="5" t="s">
        <v>116</v>
      </c>
      <c r="I1419" s="2">
        <v>21</v>
      </c>
      <c r="J1419" s="2" t="s">
        <v>24</v>
      </c>
      <c r="K1419" s="2" t="s">
        <v>25</v>
      </c>
      <c r="L1419" s="2" t="s">
        <v>50</v>
      </c>
      <c r="M1419" s="4" t="str">
        <f t="shared" si="44"/>
        <v>Voluntary</v>
      </c>
      <c r="N1419" s="23" t="s">
        <v>26</v>
      </c>
    </row>
    <row r="1420" spans="1:14" x14ac:dyDescent="0.25">
      <c r="A1420" s="22">
        <v>8025</v>
      </c>
      <c r="B1420" s="3">
        <v>39446</v>
      </c>
      <c r="C1420" s="3">
        <v>44190</v>
      </c>
      <c r="D1420" s="2">
        <f t="shared" si="45"/>
        <v>13</v>
      </c>
      <c r="E1420" s="4" t="str" cm="1">
        <f t="array" ref="E1420">_xlfn.IFS(
D1420&lt;=5,"Newcomer",
D1420&lt;=10,"Proficient",
D1420&gt;10,"Expert"
)</f>
        <v>Expert</v>
      </c>
      <c r="F1420" s="2" t="s">
        <v>14</v>
      </c>
      <c r="G1420" s="5" t="s">
        <v>71</v>
      </c>
      <c r="H1420" s="5" t="s">
        <v>116</v>
      </c>
      <c r="I1420" s="2">
        <v>44</v>
      </c>
      <c r="J1420" s="2" t="s">
        <v>17</v>
      </c>
      <c r="K1420" s="2" t="s">
        <v>18</v>
      </c>
      <c r="L1420" s="2" t="s">
        <v>50</v>
      </c>
      <c r="M1420" s="4" t="str">
        <f t="shared" si="44"/>
        <v>Voluntary</v>
      </c>
      <c r="N1420" s="23" t="s">
        <v>26</v>
      </c>
    </row>
    <row r="1421" spans="1:14" x14ac:dyDescent="0.25">
      <c r="A1421" s="22">
        <v>8026</v>
      </c>
      <c r="B1421" s="3">
        <v>35930</v>
      </c>
      <c r="C1421" s="3">
        <v>43894</v>
      </c>
      <c r="D1421" s="2">
        <f t="shared" si="45"/>
        <v>22</v>
      </c>
      <c r="E1421" s="4" t="str" cm="1">
        <f t="array" ref="E1421">_xlfn.IFS(
D1421&lt;=5,"Newcomer",
D1421&lt;=10,"Proficient",
D1421&gt;10,"Expert"
)</f>
        <v>Expert</v>
      </c>
      <c r="F1421" s="2" t="s">
        <v>90</v>
      </c>
      <c r="G1421" s="5" t="s">
        <v>71</v>
      </c>
      <c r="H1421" s="5" t="s">
        <v>116</v>
      </c>
      <c r="I1421" s="2">
        <v>26</v>
      </c>
      <c r="J1421" s="2" t="s">
        <v>24</v>
      </c>
      <c r="K1421" s="2" t="s">
        <v>25</v>
      </c>
      <c r="L1421" s="2" t="s">
        <v>50</v>
      </c>
      <c r="M1421" s="4" t="str">
        <f t="shared" si="44"/>
        <v>Voluntary</v>
      </c>
      <c r="N1421" s="23" t="s">
        <v>26</v>
      </c>
    </row>
    <row r="1422" spans="1:14" x14ac:dyDescent="0.25">
      <c r="A1422" s="22">
        <v>8027</v>
      </c>
      <c r="B1422" s="3">
        <v>33554</v>
      </c>
      <c r="C1422" s="3">
        <v>44110</v>
      </c>
      <c r="D1422" s="2">
        <f t="shared" si="45"/>
        <v>29</v>
      </c>
      <c r="E1422" s="4" t="str" cm="1">
        <f t="array" ref="E1422">_xlfn.IFS(
D1422&lt;=5,"Newcomer",
D1422&lt;=10,"Proficient",
D1422&gt;10,"Expert"
)</f>
        <v>Expert</v>
      </c>
      <c r="F1422" s="2" t="s">
        <v>30</v>
      </c>
      <c r="G1422" s="5" t="s">
        <v>71</v>
      </c>
      <c r="H1422" s="5" t="s">
        <v>116</v>
      </c>
      <c r="I1422" s="2">
        <v>46</v>
      </c>
      <c r="J1422" s="2" t="s">
        <v>17</v>
      </c>
      <c r="K1422" s="2" t="s">
        <v>18</v>
      </c>
      <c r="L1422" s="2" t="s">
        <v>50</v>
      </c>
      <c r="M1422" s="4" t="str">
        <f t="shared" si="44"/>
        <v>Voluntary</v>
      </c>
      <c r="N1422" s="23" t="s">
        <v>26</v>
      </c>
    </row>
    <row r="1423" spans="1:14" x14ac:dyDescent="0.25">
      <c r="A1423" s="22">
        <v>8028</v>
      </c>
      <c r="B1423" s="3">
        <v>42091</v>
      </c>
      <c r="C1423" s="3">
        <v>44157</v>
      </c>
      <c r="D1423" s="2">
        <f t="shared" si="45"/>
        <v>5</v>
      </c>
      <c r="E1423" s="4" t="str" cm="1">
        <f t="array" ref="E1423">_xlfn.IFS(
D1423&lt;=5,"Newcomer",
D1423&lt;=10,"Proficient",
D1423&gt;10,"Expert"
)</f>
        <v>Newcomer</v>
      </c>
      <c r="F1423" s="2" t="s">
        <v>44</v>
      </c>
      <c r="G1423" s="5" t="s">
        <v>71</v>
      </c>
      <c r="H1423" s="5" t="s">
        <v>116</v>
      </c>
      <c r="I1423" s="2">
        <v>18</v>
      </c>
      <c r="J1423" s="2" t="s">
        <v>17</v>
      </c>
      <c r="K1423" s="2" t="s">
        <v>18</v>
      </c>
      <c r="L1423" s="2" t="s">
        <v>50</v>
      </c>
      <c r="M1423" s="4" t="str">
        <f t="shared" si="44"/>
        <v>Voluntary</v>
      </c>
      <c r="N1423" s="23" t="s">
        <v>26</v>
      </c>
    </row>
    <row r="1424" spans="1:14" x14ac:dyDescent="0.25">
      <c r="A1424" s="22">
        <v>8029</v>
      </c>
      <c r="B1424" s="3">
        <v>39293</v>
      </c>
      <c r="C1424" s="3">
        <v>43863</v>
      </c>
      <c r="D1424" s="2">
        <f t="shared" si="45"/>
        <v>13</v>
      </c>
      <c r="E1424" s="4" t="str" cm="1">
        <f t="array" ref="E1424">_xlfn.IFS(
D1424&lt;=5,"Newcomer",
D1424&lt;=10,"Proficient",
D1424&gt;10,"Expert"
)</f>
        <v>Expert</v>
      </c>
      <c r="F1424" s="2" t="s">
        <v>44</v>
      </c>
      <c r="G1424" s="5" t="s">
        <v>71</v>
      </c>
      <c r="H1424" s="5" t="s">
        <v>116</v>
      </c>
      <c r="I1424" s="2">
        <v>18</v>
      </c>
      <c r="J1424" s="2" t="s">
        <v>17</v>
      </c>
      <c r="K1424" s="2" t="s">
        <v>18</v>
      </c>
      <c r="L1424" s="2" t="s">
        <v>50</v>
      </c>
      <c r="M1424" s="4" t="str">
        <f t="shared" si="44"/>
        <v>Voluntary</v>
      </c>
      <c r="N1424" s="23" t="s">
        <v>26</v>
      </c>
    </row>
    <row r="1425" spans="1:14" x14ac:dyDescent="0.25">
      <c r="A1425" s="22">
        <v>8030</v>
      </c>
      <c r="B1425" s="3">
        <v>34996</v>
      </c>
      <c r="C1425" s="3">
        <v>43937</v>
      </c>
      <c r="D1425" s="2">
        <f t="shared" si="45"/>
        <v>25</v>
      </c>
      <c r="E1425" s="4" t="str" cm="1">
        <f t="array" ref="E1425">_xlfn.IFS(
D1425&lt;=5,"Newcomer",
D1425&lt;=10,"Proficient",
D1425&gt;10,"Expert"
)</f>
        <v>Expert</v>
      </c>
      <c r="F1425" s="2" t="s">
        <v>78</v>
      </c>
      <c r="G1425" s="5" t="s">
        <v>71</v>
      </c>
      <c r="H1425" s="5" t="s">
        <v>116</v>
      </c>
      <c r="I1425" s="2">
        <v>21</v>
      </c>
      <c r="J1425" s="2" t="s">
        <v>17</v>
      </c>
      <c r="K1425" s="2" t="s">
        <v>18</v>
      </c>
      <c r="L1425" s="2" t="s">
        <v>50</v>
      </c>
      <c r="M1425" s="4" t="str">
        <f t="shared" si="44"/>
        <v>Voluntary</v>
      </c>
      <c r="N1425" s="23" t="s">
        <v>26</v>
      </c>
    </row>
    <row r="1426" spans="1:14" x14ac:dyDescent="0.25">
      <c r="A1426" s="22">
        <v>8035</v>
      </c>
      <c r="B1426" s="3">
        <v>37149</v>
      </c>
      <c r="C1426" s="3">
        <v>44055</v>
      </c>
      <c r="D1426" s="2">
        <f t="shared" si="45"/>
        <v>19</v>
      </c>
      <c r="E1426" s="4" t="str" cm="1">
        <f t="array" ref="E1426">_xlfn.IFS(
D1426&lt;=5,"Newcomer",
D1426&lt;=10,"Proficient",
D1426&gt;10,"Expert"
)</f>
        <v>Expert</v>
      </c>
      <c r="F1426" s="2" t="s">
        <v>100</v>
      </c>
      <c r="G1426" s="5" t="s">
        <v>71</v>
      </c>
      <c r="H1426" s="5" t="s">
        <v>116</v>
      </c>
      <c r="I1426" s="2">
        <v>13</v>
      </c>
      <c r="J1426" s="2" t="s">
        <v>17</v>
      </c>
      <c r="K1426" s="2" t="s">
        <v>18</v>
      </c>
      <c r="L1426" s="2" t="s">
        <v>96</v>
      </c>
      <c r="M1426" s="4" t="str">
        <f t="shared" si="44"/>
        <v>Involuntary</v>
      </c>
      <c r="N1426" s="23" t="s">
        <v>26</v>
      </c>
    </row>
    <row r="1427" spans="1:14" x14ac:dyDescent="0.25">
      <c r="A1427" s="22">
        <v>8036</v>
      </c>
      <c r="B1427" s="3">
        <v>38318</v>
      </c>
      <c r="C1427" s="3">
        <v>43837</v>
      </c>
      <c r="D1427" s="2">
        <f t="shared" si="45"/>
        <v>16</v>
      </c>
      <c r="E1427" s="4" t="str" cm="1">
        <f t="array" ref="E1427">_xlfn.IFS(
D1427&lt;=5,"Newcomer",
D1427&lt;=10,"Proficient",
D1427&gt;10,"Expert"
)</f>
        <v>Expert</v>
      </c>
      <c r="F1427" s="2" t="s">
        <v>106</v>
      </c>
      <c r="G1427" s="5" t="s">
        <v>71</v>
      </c>
      <c r="H1427" s="5" t="s">
        <v>116</v>
      </c>
      <c r="I1427" s="2">
        <v>20</v>
      </c>
      <c r="J1427" s="2" t="s">
        <v>24</v>
      </c>
      <c r="K1427" s="2" t="s">
        <v>25</v>
      </c>
      <c r="L1427" s="2" t="s">
        <v>50</v>
      </c>
      <c r="M1427" s="4" t="str">
        <f t="shared" si="44"/>
        <v>Voluntary</v>
      </c>
      <c r="N1427" s="23" t="s">
        <v>26</v>
      </c>
    </row>
    <row r="1428" spans="1:14" x14ac:dyDescent="0.25">
      <c r="A1428" s="22">
        <v>8042</v>
      </c>
      <c r="B1428" s="3">
        <v>38457</v>
      </c>
      <c r="C1428" s="3">
        <v>43867</v>
      </c>
      <c r="D1428" s="2">
        <f t="shared" si="45"/>
        <v>15</v>
      </c>
      <c r="E1428" s="4" t="str" cm="1">
        <f t="array" ref="E1428">_xlfn.IFS(
D1428&lt;=5,"Newcomer",
D1428&lt;=10,"Proficient",
D1428&gt;10,"Expert"
)</f>
        <v>Expert</v>
      </c>
      <c r="F1428" s="2" t="s">
        <v>107</v>
      </c>
      <c r="G1428" s="5" t="s">
        <v>71</v>
      </c>
      <c r="H1428" s="5" t="s">
        <v>116</v>
      </c>
      <c r="I1428" s="2">
        <v>11</v>
      </c>
      <c r="J1428" s="2" t="s">
        <v>17</v>
      </c>
      <c r="K1428" s="2" t="s">
        <v>18</v>
      </c>
      <c r="L1428" s="2" t="s">
        <v>96</v>
      </c>
      <c r="M1428" s="4" t="str">
        <f t="shared" si="44"/>
        <v>Involuntary</v>
      </c>
      <c r="N1428" s="23" t="s">
        <v>26</v>
      </c>
    </row>
    <row r="1429" spans="1:14" x14ac:dyDescent="0.25">
      <c r="A1429" s="22">
        <v>8047</v>
      </c>
      <c r="B1429" s="3">
        <v>39905</v>
      </c>
      <c r="C1429" s="3">
        <v>44037</v>
      </c>
      <c r="D1429" s="2">
        <f t="shared" si="45"/>
        <v>11</v>
      </c>
      <c r="E1429" s="4" t="str" cm="1">
        <f t="array" ref="E1429">_xlfn.IFS(
D1429&lt;=5,"Newcomer",
D1429&lt;=10,"Proficient",
D1429&gt;10,"Expert"
)</f>
        <v>Expert</v>
      </c>
      <c r="F1429" s="2" t="s">
        <v>106</v>
      </c>
      <c r="G1429" s="5" t="s">
        <v>71</v>
      </c>
      <c r="H1429" s="5" t="s">
        <v>116</v>
      </c>
      <c r="I1429" s="2">
        <v>20</v>
      </c>
      <c r="J1429" s="2" t="s">
        <v>17</v>
      </c>
      <c r="K1429" s="2" t="s">
        <v>18</v>
      </c>
      <c r="L1429" s="2" t="s">
        <v>96</v>
      </c>
      <c r="M1429" s="4" t="str">
        <f t="shared" si="44"/>
        <v>Involuntary</v>
      </c>
      <c r="N1429" s="23" t="s">
        <v>26</v>
      </c>
    </row>
    <row r="1430" spans="1:14" x14ac:dyDescent="0.25">
      <c r="A1430" s="22">
        <v>8055</v>
      </c>
      <c r="B1430" s="3">
        <v>37725</v>
      </c>
      <c r="C1430" s="3">
        <v>44195</v>
      </c>
      <c r="D1430" s="2">
        <f t="shared" si="45"/>
        <v>17</v>
      </c>
      <c r="E1430" s="4" t="str" cm="1">
        <f t="array" ref="E1430">_xlfn.IFS(
D1430&lt;=5,"Newcomer",
D1430&lt;=10,"Proficient",
D1430&gt;10,"Expert"
)</f>
        <v>Expert</v>
      </c>
      <c r="F1430" s="2" t="s">
        <v>106</v>
      </c>
      <c r="G1430" s="5" t="s">
        <v>71</v>
      </c>
      <c r="H1430" s="5" t="s">
        <v>116</v>
      </c>
      <c r="I1430" s="2">
        <v>20</v>
      </c>
      <c r="J1430" s="2" t="s">
        <v>17</v>
      </c>
      <c r="K1430" s="2" t="s">
        <v>18</v>
      </c>
      <c r="L1430" s="2" t="s">
        <v>96</v>
      </c>
      <c r="M1430" s="4" t="str">
        <f t="shared" si="44"/>
        <v>Involuntary</v>
      </c>
      <c r="N1430" s="23" t="s">
        <v>26</v>
      </c>
    </row>
    <row r="1431" spans="1:14" x14ac:dyDescent="0.25">
      <c r="A1431" s="22">
        <v>8065</v>
      </c>
      <c r="B1431" s="3">
        <v>41239</v>
      </c>
      <c r="C1431" s="3">
        <v>43903</v>
      </c>
      <c r="D1431" s="2">
        <f t="shared" si="45"/>
        <v>8</v>
      </c>
      <c r="E1431" s="4" t="str" cm="1">
        <f t="array" ref="E1431">_xlfn.IFS(
D1431&lt;=5,"Newcomer",
D1431&lt;=10,"Proficient",
D1431&gt;10,"Expert"
)</f>
        <v>Proficient</v>
      </c>
      <c r="F1431" s="2" t="s">
        <v>77</v>
      </c>
      <c r="G1431" s="5" t="s">
        <v>71</v>
      </c>
      <c r="H1431" s="5" t="s">
        <v>116</v>
      </c>
      <c r="I1431" s="2">
        <v>30</v>
      </c>
      <c r="J1431" s="2" t="s">
        <v>24</v>
      </c>
      <c r="K1431" s="2" t="s">
        <v>25</v>
      </c>
      <c r="L1431" s="2" t="s">
        <v>50</v>
      </c>
      <c r="M1431" s="4" t="str">
        <f t="shared" si="44"/>
        <v>Voluntary</v>
      </c>
      <c r="N1431" s="23" t="s">
        <v>26</v>
      </c>
    </row>
    <row r="1432" spans="1:14" x14ac:dyDescent="0.25">
      <c r="A1432" s="22">
        <v>8069</v>
      </c>
      <c r="B1432" s="3">
        <v>39968</v>
      </c>
      <c r="C1432" s="3">
        <v>43872</v>
      </c>
      <c r="D1432" s="2">
        <f t="shared" si="45"/>
        <v>11</v>
      </c>
      <c r="E1432" s="4" t="str" cm="1">
        <f t="array" ref="E1432">_xlfn.IFS(
D1432&lt;=5,"Newcomer",
D1432&lt;=10,"Proficient",
D1432&gt;10,"Expert"
)</f>
        <v>Expert</v>
      </c>
      <c r="F1432" s="2" t="s">
        <v>106</v>
      </c>
      <c r="G1432" s="5" t="s">
        <v>71</v>
      </c>
      <c r="H1432" s="5" t="s">
        <v>116</v>
      </c>
      <c r="I1432" s="2">
        <v>20</v>
      </c>
      <c r="J1432" s="2" t="s">
        <v>24</v>
      </c>
      <c r="K1432" s="2" t="s">
        <v>25</v>
      </c>
      <c r="L1432" s="2" t="s">
        <v>96</v>
      </c>
      <c r="M1432" s="4" t="str">
        <f t="shared" si="44"/>
        <v>Involuntary</v>
      </c>
      <c r="N1432" s="23" t="s">
        <v>26</v>
      </c>
    </row>
    <row r="1433" spans="1:14" x14ac:dyDescent="0.25">
      <c r="A1433" s="22">
        <v>8070</v>
      </c>
      <c r="B1433" s="3">
        <v>39056</v>
      </c>
      <c r="C1433" s="3">
        <v>44194</v>
      </c>
      <c r="D1433" s="2">
        <f t="shared" si="45"/>
        <v>14</v>
      </c>
      <c r="E1433" s="4" t="str" cm="1">
        <f t="array" ref="E1433">_xlfn.IFS(
D1433&lt;=5,"Newcomer",
D1433&lt;=10,"Proficient",
D1433&gt;10,"Expert"
)</f>
        <v>Expert</v>
      </c>
      <c r="F1433" s="2" t="s">
        <v>107</v>
      </c>
      <c r="G1433" s="5" t="s">
        <v>71</v>
      </c>
      <c r="H1433" s="5" t="s">
        <v>116</v>
      </c>
      <c r="I1433" s="2">
        <v>11</v>
      </c>
      <c r="J1433" s="2" t="s">
        <v>24</v>
      </c>
      <c r="K1433" s="2" t="s">
        <v>25</v>
      </c>
      <c r="L1433" s="2" t="s">
        <v>96</v>
      </c>
      <c r="M1433" s="4" t="str">
        <f t="shared" si="44"/>
        <v>Involuntary</v>
      </c>
      <c r="N1433" s="23" t="s">
        <v>26</v>
      </c>
    </row>
    <row r="1434" spans="1:14" x14ac:dyDescent="0.25">
      <c r="A1434" s="22">
        <v>8080</v>
      </c>
      <c r="B1434" s="3">
        <v>34676</v>
      </c>
      <c r="C1434" s="3">
        <v>44185</v>
      </c>
      <c r="D1434" s="2">
        <f t="shared" si="45"/>
        <v>26</v>
      </c>
      <c r="E1434" s="4" t="str" cm="1">
        <f t="array" ref="E1434">_xlfn.IFS(
D1434&lt;=5,"Newcomer",
D1434&lt;=10,"Proficient",
D1434&gt;10,"Expert"
)</f>
        <v>Expert</v>
      </c>
      <c r="F1434" s="2" t="s">
        <v>106</v>
      </c>
      <c r="G1434" s="5" t="s">
        <v>71</v>
      </c>
      <c r="H1434" s="5" t="s">
        <v>116</v>
      </c>
      <c r="I1434" s="2">
        <v>20</v>
      </c>
      <c r="J1434" s="2" t="s">
        <v>17</v>
      </c>
      <c r="K1434" s="2" t="s">
        <v>18</v>
      </c>
      <c r="L1434" s="2" t="s">
        <v>96</v>
      </c>
      <c r="M1434" s="4" t="str">
        <f t="shared" si="44"/>
        <v>Involuntary</v>
      </c>
      <c r="N1434" s="23" t="s">
        <v>26</v>
      </c>
    </row>
    <row r="1435" spans="1:14" x14ac:dyDescent="0.25">
      <c r="A1435" s="22">
        <v>8083</v>
      </c>
      <c r="B1435" s="3">
        <v>40602</v>
      </c>
      <c r="C1435" s="3">
        <v>44145</v>
      </c>
      <c r="D1435" s="2">
        <f t="shared" si="45"/>
        <v>9</v>
      </c>
      <c r="E1435" s="4" t="str" cm="1">
        <f t="array" ref="E1435">_xlfn.IFS(
D1435&lt;=5,"Newcomer",
D1435&lt;=10,"Proficient",
D1435&gt;10,"Expert"
)</f>
        <v>Proficient</v>
      </c>
      <c r="F1435" s="2" t="s">
        <v>103</v>
      </c>
      <c r="G1435" s="5" t="s">
        <v>71</v>
      </c>
      <c r="H1435" s="5" t="s">
        <v>116</v>
      </c>
      <c r="I1435" s="2">
        <v>2</v>
      </c>
      <c r="J1435" s="2" t="s">
        <v>24</v>
      </c>
      <c r="K1435" s="2" t="s">
        <v>25</v>
      </c>
      <c r="L1435" s="2" t="s">
        <v>50</v>
      </c>
      <c r="M1435" s="4" t="str">
        <f t="shared" si="44"/>
        <v>Voluntary</v>
      </c>
      <c r="N1435" s="23" t="s">
        <v>26</v>
      </c>
    </row>
    <row r="1436" spans="1:14" x14ac:dyDescent="0.25">
      <c r="A1436" s="22">
        <v>8105</v>
      </c>
      <c r="B1436" s="3">
        <v>39731</v>
      </c>
      <c r="C1436" s="3">
        <v>44165</v>
      </c>
      <c r="D1436" s="2">
        <f t="shared" si="45"/>
        <v>12</v>
      </c>
      <c r="E1436" s="4" t="str" cm="1">
        <f t="array" ref="E1436">_xlfn.IFS(
D1436&lt;=5,"Newcomer",
D1436&lt;=10,"Proficient",
D1436&gt;10,"Expert"
)</f>
        <v>Expert</v>
      </c>
      <c r="F1436" s="2" t="s">
        <v>106</v>
      </c>
      <c r="G1436" s="5" t="s">
        <v>71</v>
      </c>
      <c r="H1436" s="5" t="s">
        <v>116</v>
      </c>
      <c r="I1436" s="2">
        <v>20</v>
      </c>
      <c r="J1436" s="2" t="s">
        <v>24</v>
      </c>
      <c r="K1436" s="2" t="s">
        <v>25</v>
      </c>
      <c r="L1436" s="2" t="s">
        <v>96</v>
      </c>
      <c r="M1436" s="4" t="str">
        <f t="shared" si="44"/>
        <v>Involuntary</v>
      </c>
      <c r="N1436" s="23" t="s">
        <v>26</v>
      </c>
    </row>
    <row r="1437" spans="1:14" x14ac:dyDescent="0.25">
      <c r="A1437" s="22">
        <v>8126</v>
      </c>
      <c r="B1437" s="3">
        <v>37866</v>
      </c>
      <c r="C1437" s="3">
        <v>44018</v>
      </c>
      <c r="D1437" s="2">
        <f t="shared" si="45"/>
        <v>17</v>
      </c>
      <c r="E1437" s="4" t="str" cm="1">
        <f t="array" ref="E1437">_xlfn.IFS(
D1437&lt;=5,"Newcomer",
D1437&lt;=10,"Proficient",
D1437&gt;10,"Expert"
)</f>
        <v>Expert</v>
      </c>
      <c r="F1437" s="2" t="s">
        <v>100</v>
      </c>
      <c r="G1437" s="5" t="s">
        <v>71</v>
      </c>
      <c r="H1437" s="5" t="s">
        <v>116</v>
      </c>
      <c r="I1437" s="2">
        <v>13</v>
      </c>
      <c r="J1437" s="2" t="s">
        <v>24</v>
      </c>
      <c r="K1437" s="2" t="s">
        <v>25</v>
      </c>
      <c r="L1437" s="2" t="s">
        <v>96</v>
      </c>
      <c r="M1437" s="4" t="str">
        <f t="shared" si="44"/>
        <v>Involuntary</v>
      </c>
      <c r="N1437" s="23" t="s">
        <v>26</v>
      </c>
    </row>
    <row r="1438" spans="1:14" x14ac:dyDescent="0.25">
      <c r="A1438" s="22">
        <v>8149</v>
      </c>
      <c r="B1438" s="3">
        <v>40827</v>
      </c>
      <c r="C1438" s="3">
        <v>43842</v>
      </c>
      <c r="D1438" s="2">
        <f t="shared" si="45"/>
        <v>9</v>
      </c>
      <c r="E1438" s="4" t="str" cm="1">
        <f t="array" ref="E1438">_xlfn.IFS(
D1438&lt;=5,"Newcomer",
D1438&lt;=10,"Proficient",
D1438&gt;10,"Expert"
)</f>
        <v>Proficient</v>
      </c>
      <c r="F1438" s="2" t="s">
        <v>107</v>
      </c>
      <c r="G1438" s="5" t="s">
        <v>71</v>
      </c>
      <c r="H1438" s="5" t="s">
        <v>116</v>
      </c>
      <c r="I1438" s="2">
        <v>11</v>
      </c>
      <c r="J1438" s="2" t="s">
        <v>24</v>
      </c>
      <c r="K1438" s="2" t="s">
        <v>25</v>
      </c>
      <c r="L1438" s="2" t="s">
        <v>96</v>
      </c>
      <c r="M1438" s="4" t="str">
        <f t="shared" si="44"/>
        <v>Involuntary</v>
      </c>
      <c r="N1438" s="23" t="s">
        <v>26</v>
      </c>
    </row>
    <row r="1439" spans="1:14" x14ac:dyDescent="0.25">
      <c r="A1439" s="22">
        <v>8150</v>
      </c>
      <c r="B1439" s="3">
        <v>34842</v>
      </c>
      <c r="C1439" s="3">
        <v>43985</v>
      </c>
      <c r="D1439" s="2">
        <f t="shared" si="45"/>
        <v>25</v>
      </c>
      <c r="E1439" s="4" t="str" cm="1">
        <f t="array" ref="E1439">_xlfn.IFS(
D1439&lt;=5,"Newcomer",
D1439&lt;=10,"Proficient",
D1439&gt;10,"Expert"
)</f>
        <v>Expert</v>
      </c>
      <c r="F1439" s="2" t="s">
        <v>86</v>
      </c>
      <c r="G1439" s="5" t="s">
        <v>71</v>
      </c>
      <c r="H1439" s="5" t="s">
        <v>116</v>
      </c>
      <c r="I1439" s="2">
        <v>8</v>
      </c>
      <c r="J1439" s="2" t="s">
        <v>17</v>
      </c>
      <c r="K1439" s="2" t="s">
        <v>18</v>
      </c>
      <c r="L1439" s="2" t="s">
        <v>50</v>
      </c>
      <c r="M1439" s="4" t="str">
        <f t="shared" si="44"/>
        <v>Voluntary</v>
      </c>
      <c r="N1439" s="23" t="s">
        <v>26</v>
      </c>
    </row>
    <row r="1440" spans="1:14" x14ac:dyDescent="0.25">
      <c r="A1440" s="22">
        <v>8151</v>
      </c>
      <c r="B1440" s="3">
        <v>33539</v>
      </c>
      <c r="C1440" s="3">
        <v>44017</v>
      </c>
      <c r="D1440" s="2">
        <f t="shared" si="45"/>
        <v>29</v>
      </c>
      <c r="E1440" s="4" t="str" cm="1">
        <f t="array" ref="E1440">_xlfn.IFS(
D1440&lt;=5,"Newcomer",
D1440&lt;=10,"Proficient",
D1440&gt;10,"Expert"
)</f>
        <v>Expert</v>
      </c>
      <c r="F1440" s="2" t="s">
        <v>14</v>
      </c>
      <c r="G1440" s="5" t="s">
        <v>71</v>
      </c>
      <c r="H1440" s="5" t="s">
        <v>116</v>
      </c>
      <c r="I1440" s="2">
        <v>44</v>
      </c>
      <c r="J1440" s="2" t="s">
        <v>24</v>
      </c>
      <c r="K1440" s="2" t="s">
        <v>25</v>
      </c>
      <c r="L1440" s="2" t="s">
        <v>50</v>
      </c>
      <c r="M1440" s="4" t="str">
        <f t="shared" si="44"/>
        <v>Voluntary</v>
      </c>
      <c r="N1440" s="23" t="s">
        <v>26</v>
      </c>
    </row>
    <row r="1441" spans="1:14" x14ac:dyDescent="0.25">
      <c r="A1441" s="22">
        <v>8152</v>
      </c>
      <c r="B1441" s="3">
        <v>35757</v>
      </c>
      <c r="C1441" s="3">
        <v>43917</v>
      </c>
      <c r="D1441" s="2">
        <f t="shared" si="45"/>
        <v>23</v>
      </c>
      <c r="E1441" s="4" t="str" cm="1">
        <f t="array" ref="E1441">_xlfn.IFS(
D1441&lt;=5,"Newcomer",
D1441&lt;=10,"Proficient",
D1441&gt;10,"Expert"
)</f>
        <v>Expert</v>
      </c>
      <c r="F1441" s="2" t="s">
        <v>90</v>
      </c>
      <c r="G1441" s="5" t="s">
        <v>71</v>
      </c>
      <c r="H1441" s="5" t="s">
        <v>116</v>
      </c>
      <c r="I1441" s="2">
        <v>26</v>
      </c>
      <c r="J1441" s="2" t="s">
        <v>17</v>
      </c>
      <c r="K1441" s="2" t="s">
        <v>18</v>
      </c>
      <c r="L1441" s="2" t="s">
        <v>50</v>
      </c>
      <c r="M1441" s="4" t="str">
        <f t="shared" si="44"/>
        <v>Voluntary</v>
      </c>
      <c r="N1441" s="23" t="s">
        <v>26</v>
      </c>
    </row>
    <row r="1442" spans="1:14" x14ac:dyDescent="0.25">
      <c r="A1442" s="22">
        <v>8153</v>
      </c>
      <c r="B1442" s="3">
        <v>40315</v>
      </c>
      <c r="C1442" s="3">
        <v>43936</v>
      </c>
      <c r="D1442" s="2">
        <f t="shared" si="45"/>
        <v>10</v>
      </c>
      <c r="E1442" s="4" t="str" cm="1">
        <f t="array" ref="E1442">_xlfn.IFS(
D1442&lt;=5,"Newcomer",
D1442&lt;=10,"Proficient",
D1442&gt;10,"Expert"
)</f>
        <v>Proficient</v>
      </c>
      <c r="F1442" s="2" t="s">
        <v>53</v>
      </c>
      <c r="G1442" s="5" t="s">
        <v>71</v>
      </c>
      <c r="H1442" s="5" t="s">
        <v>116</v>
      </c>
      <c r="I1442" s="2">
        <v>31</v>
      </c>
      <c r="J1442" s="2" t="s">
        <v>17</v>
      </c>
      <c r="K1442" s="2" t="s">
        <v>18</v>
      </c>
      <c r="L1442" s="2" t="s">
        <v>50</v>
      </c>
      <c r="M1442" s="4" t="str">
        <f t="shared" si="44"/>
        <v>Voluntary</v>
      </c>
      <c r="N1442" s="23" t="s">
        <v>26</v>
      </c>
    </row>
    <row r="1443" spans="1:14" x14ac:dyDescent="0.25">
      <c r="A1443" s="22">
        <v>8154</v>
      </c>
      <c r="B1443" s="3">
        <v>33632</v>
      </c>
      <c r="C1443" s="3">
        <v>43905</v>
      </c>
      <c r="D1443" s="2">
        <f t="shared" si="45"/>
        <v>28</v>
      </c>
      <c r="E1443" s="4" t="str" cm="1">
        <f t="array" ref="E1443">_xlfn.IFS(
D1443&lt;=5,"Newcomer",
D1443&lt;=10,"Proficient",
D1443&gt;10,"Expert"
)</f>
        <v>Expert</v>
      </c>
      <c r="F1443" s="2" t="s">
        <v>70</v>
      </c>
      <c r="G1443" s="5" t="s">
        <v>71</v>
      </c>
      <c r="H1443" s="5" t="s">
        <v>116</v>
      </c>
      <c r="I1443" s="2">
        <v>6</v>
      </c>
      <c r="J1443" s="2" t="s">
        <v>24</v>
      </c>
      <c r="K1443" s="2" t="s">
        <v>25</v>
      </c>
      <c r="L1443" s="2" t="s">
        <v>50</v>
      </c>
      <c r="M1443" s="4" t="str">
        <f t="shared" si="44"/>
        <v>Voluntary</v>
      </c>
      <c r="N1443" s="23" t="s">
        <v>26</v>
      </c>
    </row>
    <row r="1444" spans="1:14" x14ac:dyDescent="0.25">
      <c r="A1444" s="22">
        <v>8155</v>
      </c>
      <c r="B1444" s="3">
        <v>33752</v>
      </c>
      <c r="C1444" s="3">
        <v>43916</v>
      </c>
      <c r="D1444" s="2">
        <f t="shared" si="45"/>
        <v>28</v>
      </c>
      <c r="E1444" s="4" t="str" cm="1">
        <f t="array" ref="E1444">_xlfn.IFS(
D1444&lt;=5,"Newcomer",
D1444&lt;=10,"Proficient",
D1444&gt;10,"Expert"
)</f>
        <v>Expert</v>
      </c>
      <c r="F1444" s="2" t="s">
        <v>14</v>
      </c>
      <c r="G1444" s="5" t="s">
        <v>71</v>
      </c>
      <c r="H1444" s="5" t="s">
        <v>116</v>
      </c>
      <c r="I1444" s="2">
        <v>44</v>
      </c>
      <c r="J1444" s="2" t="s">
        <v>17</v>
      </c>
      <c r="K1444" s="2" t="s">
        <v>18</v>
      </c>
      <c r="L1444" s="2" t="s">
        <v>50</v>
      </c>
      <c r="M1444" s="4" t="str">
        <f t="shared" si="44"/>
        <v>Voluntary</v>
      </c>
      <c r="N1444" s="23" t="s">
        <v>26</v>
      </c>
    </row>
    <row r="1445" spans="1:14" x14ac:dyDescent="0.25">
      <c r="A1445" s="22">
        <v>8156</v>
      </c>
      <c r="B1445" s="3">
        <v>34653</v>
      </c>
      <c r="C1445" s="3">
        <v>44127</v>
      </c>
      <c r="D1445" s="2">
        <f t="shared" si="45"/>
        <v>26</v>
      </c>
      <c r="E1445" s="4" t="str" cm="1">
        <f t="array" ref="E1445">_xlfn.IFS(
D1445&lt;=5,"Newcomer",
D1445&lt;=10,"Proficient",
D1445&gt;10,"Expert"
)</f>
        <v>Expert</v>
      </c>
      <c r="F1445" s="2" t="s">
        <v>78</v>
      </c>
      <c r="G1445" s="5" t="s">
        <v>71</v>
      </c>
      <c r="H1445" s="5" t="s">
        <v>116</v>
      </c>
      <c r="I1445" s="2">
        <v>21</v>
      </c>
      <c r="J1445" s="2" t="s">
        <v>17</v>
      </c>
      <c r="K1445" s="2" t="s">
        <v>18</v>
      </c>
      <c r="L1445" s="2" t="s">
        <v>50</v>
      </c>
      <c r="M1445" s="4" t="str">
        <f t="shared" si="44"/>
        <v>Voluntary</v>
      </c>
      <c r="N1445" s="23" t="s">
        <v>26</v>
      </c>
    </row>
    <row r="1446" spans="1:14" x14ac:dyDescent="0.25">
      <c r="A1446" s="22">
        <v>8157</v>
      </c>
      <c r="B1446" s="3">
        <v>34842</v>
      </c>
      <c r="C1446" s="3">
        <v>44118</v>
      </c>
      <c r="D1446" s="2">
        <f t="shared" si="45"/>
        <v>25</v>
      </c>
      <c r="E1446" s="4" t="str" cm="1">
        <f t="array" ref="E1446">_xlfn.IFS(
D1446&lt;=5,"Newcomer",
D1446&lt;=10,"Proficient",
D1446&gt;10,"Expert"
)</f>
        <v>Expert</v>
      </c>
      <c r="F1446" s="2" t="s">
        <v>41</v>
      </c>
      <c r="G1446" s="5" t="s">
        <v>71</v>
      </c>
      <c r="H1446" s="5" t="s">
        <v>116</v>
      </c>
      <c r="I1446" s="2">
        <v>15</v>
      </c>
      <c r="J1446" s="2" t="s">
        <v>17</v>
      </c>
      <c r="K1446" s="2" t="s">
        <v>18</v>
      </c>
      <c r="L1446" s="2" t="s">
        <v>50</v>
      </c>
      <c r="M1446" s="4" t="str">
        <f t="shared" si="44"/>
        <v>Voluntary</v>
      </c>
      <c r="N1446" s="23" t="s">
        <v>26</v>
      </c>
    </row>
    <row r="1447" spans="1:14" x14ac:dyDescent="0.25">
      <c r="A1447" s="22">
        <v>8158</v>
      </c>
      <c r="B1447" s="3">
        <v>39488</v>
      </c>
      <c r="C1447" s="3">
        <v>44164</v>
      </c>
      <c r="D1447" s="2">
        <f t="shared" si="45"/>
        <v>12</v>
      </c>
      <c r="E1447" s="4" t="str" cm="1">
        <f t="array" ref="E1447">_xlfn.IFS(
D1447&lt;=5,"Newcomer",
D1447&lt;=10,"Proficient",
D1447&gt;10,"Expert"
)</f>
        <v>Expert</v>
      </c>
      <c r="F1447" s="2" t="s">
        <v>30</v>
      </c>
      <c r="G1447" s="5" t="s">
        <v>71</v>
      </c>
      <c r="H1447" s="5" t="s">
        <v>116</v>
      </c>
      <c r="I1447" s="2">
        <v>46</v>
      </c>
      <c r="J1447" s="2" t="s">
        <v>17</v>
      </c>
      <c r="K1447" s="2" t="s">
        <v>18</v>
      </c>
      <c r="L1447" s="2" t="s">
        <v>50</v>
      </c>
      <c r="M1447" s="4" t="str">
        <f t="shared" si="44"/>
        <v>Voluntary</v>
      </c>
      <c r="N1447" s="23" t="s">
        <v>26</v>
      </c>
    </row>
    <row r="1448" spans="1:14" x14ac:dyDescent="0.25">
      <c r="A1448" s="22">
        <v>8159</v>
      </c>
      <c r="B1448" s="3">
        <v>35136</v>
      </c>
      <c r="C1448" s="3">
        <v>43978</v>
      </c>
      <c r="D1448" s="2">
        <f t="shared" si="45"/>
        <v>24</v>
      </c>
      <c r="E1448" s="4" t="str" cm="1">
        <f t="array" ref="E1448">_xlfn.IFS(
D1448&lt;=5,"Newcomer",
D1448&lt;=10,"Proficient",
D1448&gt;10,"Expert"
)</f>
        <v>Expert</v>
      </c>
      <c r="F1448" s="2" t="s">
        <v>27</v>
      </c>
      <c r="G1448" s="5" t="s">
        <v>71</v>
      </c>
      <c r="H1448" s="5" t="s">
        <v>116</v>
      </c>
      <c r="I1448" s="2">
        <v>16</v>
      </c>
      <c r="J1448" s="2" t="s">
        <v>17</v>
      </c>
      <c r="K1448" s="2" t="s">
        <v>18</v>
      </c>
      <c r="L1448" s="2" t="s">
        <v>50</v>
      </c>
      <c r="M1448" s="4" t="str">
        <f t="shared" si="44"/>
        <v>Voluntary</v>
      </c>
      <c r="N1448" s="23" t="s">
        <v>26</v>
      </c>
    </row>
    <row r="1449" spans="1:14" x14ac:dyDescent="0.25">
      <c r="A1449" s="22">
        <v>8160</v>
      </c>
      <c r="B1449" s="3">
        <v>36422</v>
      </c>
      <c r="C1449" s="3">
        <v>44061</v>
      </c>
      <c r="D1449" s="2">
        <f t="shared" si="45"/>
        <v>21</v>
      </c>
      <c r="E1449" s="4" t="str" cm="1">
        <f t="array" ref="E1449">_xlfn.IFS(
D1449&lt;=5,"Newcomer",
D1449&lt;=10,"Proficient",
D1449&gt;10,"Expert"
)</f>
        <v>Expert</v>
      </c>
      <c r="F1449" s="2" t="s">
        <v>41</v>
      </c>
      <c r="G1449" s="5" t="s">
        <v>71</v>
      </c>
      <c r="H1449" s="5" t="s">
        <v>116</v>
      </c>
      <c r="I1449" s="2">
        <v>15</v>
      </c>
      <c r="J1449" s="2" t="s">
        <v>17</v>
      </c>
      <c r="K1449" s="2" t="s">
        <v>18</v>
      </c>
      <c r="L1449" s="2" t="s">
        <v>50</v>
      </c>
      <c r="M1449" s="4" t="str">
        <f t="shared" si="44"/>
        <v>Voluntary</v>
      </c>
      <c r="N1449" s="23" t="s">
        <v>26</v>
      </c>
    </row>
    <row r="1450" spans="1:14" x14ac:dyDescent="0.25">
      <c r="A1450" s="22">
        <v>8161</v>
      </c>
      <c r="B1450" s="3">
        <v>39135</v>
      </c>
      <c r="C1450" s="3">
        <v>44052</v>
      </c>
      <c r="D1450" s="2">
        <f t="shared" si="45"/>
        <v>13</v>
      </c>
      <c r="E1450" s="4" t="str" cm="1">
        <f t="array" ref="E1450">_xlfn.IFS(
D1450&lt;=5,"Newcomer",
D1450&lt;=10,"Proficient",
D1450&gt;10,"Expert"
)</f>
        <v>Expert</v>
      </c>
      <c r="F1450" s="2" t="s">
        <v>14</v>
      </c>
      <c r="G1450" s="5" t="s">
        <v>71</v>
      </c>
      <c r="H1450" s="5" t="s">
        <v>116</v>
      </c>
      <c r="I1450" s="2">
        <v>44</v>
      </c>
      <c r="J1450" s="2" t="s">
        <v>24</v>
      </c>
      <c r="K1450" s="2" t="s">
        <v>25</v>
      </c>
      <c r="L1450" s="2" t="s">
        <v>50</v>
      </c>
      <c r="M1450" s="4" t="str">
        <f t="shared" si="44"/>
        <v>Voluntary</v>
      </c>
      <c r="N1450" s="23" t="s">
        <v>26</v>
      </c>
    </row>
    <row r="1451" spans="1:14" x14ac:dyDescent="0.25">
      <c r="A1451" s="22">
        <v>8162</v>
      </c>
      <c r="B1451" s="3">
        <v>37961</v>
      </c>
      <c r="C1451" s="3">
        <v>43957</v>
      </c>
      <c r="D1451" s="2">
        <f t="shared" si="45"/>
        <v>17</v>
      </c>
      <c r="E1451" s="4" t="str" cm="1">
        <f t="array" ref="E1451">_xlfn.IFS(
D1451&lt;=5,"Newcomer",
D1451&lt;=10,"Proficient",
D1451&gt;10,"Expert"
)</f>
        <v>Expert</v>
      </c>
      <c r="F1451" s="2" t="s">
        <v>73</v>
      </c>
      <c r="G1451" s="5" t="s">
        <v>71</v>
      </c>
      <c r="H1451" s="5" t="s">
        <v>116</v>
      </c>
      <c r="I1451" s="2">
        <v>32</v>
      </c>
      <c r="J1451" s="2" t="s">
        <v>17</v>
      </c>
      <c r="K1451" s="2" t="s">
        <v>18</v>
      </c>
      <c r="L1451" s="2" t="s">
        <v>50</v>
      </c>
      <c r="M1451" s="4" t="str">
        <f t="shared" si="44"/>
        <v>Voluntary</v>
      </c>
      <c r="N1451" s="23" t="s">
        <v>26</v>
      </c>
    </row>
    <row r="1452" spans="1:14" x14ac:dyDescent="0.25">
      <c r="A1452" s="22">
        <v>8163</v>
      </c>
      <c r="B1452" s="3">
        <v>39880</v>
      </c>
      <c r="C1452" s="3">
        <v>43847</v>
      </c>
      <c r="D1452" s="2">
        <f t="shared" si="45"/>
        <v>11</v>
      </c>
      <c r="E1452" s="4" t="str" cm="1">
        <f t="array" ref="E1452">_xlfn.IFS(
D1452&lt;=5,"Newcomer",
D1452&lt;=10,"Proficient",
D1452&gt;10,"Expert"
)</f>
        <v>Expert</v>
      </c>
      <c r="F1452" s="2" t="s">
        <v>70</v>
      </c>
      <c r="G1452" s="5" t="s">
        <v>71</v>
      </c>
      <c r="H1452" s="5" t="s">
        <v>116</v>
      </c>
      <c r="I1452" s="2">
        <v>6</v>
      </c>
      <c r="J1452" s="2" t="s">
        <v>17</v>
      </c>
      <c r="K1452" s="2" t="s">
        <v>18</v>
      </c>
      <c r="L1452" s="2" t="s">
        <v>50</v>
      </c>
      <c r="M1452" s="4" t="str">
        <f t="shared" si="44"/>
        <v>Voluntary</v>
      </c>
      <c r="N1452" s="23" t="s">
        <v>26</v>
      </c>
    </row>
    <row r="1453" spans="1:14" x14ac:dyDescent="0.25">
      <c r="A1453" s="22">
        <v>8164</v>
      </c>
      <c r="B1453" s="3">
        <v>38746</v>
      </c>
      <c r="C1453" s="3">
        <v>43927</v>
      </c>
      <c r="D1453" s="2">
        <f t="shared" si="45"/>
        <v>14</v>
      </c>
      <c r="E1453" s="4" t="str" cm="1">
        <f t="array" ref="E1453">_xlfn.IFS(
D1453&lt;=5,"Newcomer",
D1453&lt;=10,"Proficient",
D1453&gt;10,"Expert"
)</f>
        <v>Expert</v>
      </c>
      <c r="F1453" s="2" t="s">
        <v>44</v>
      </c>
      <c r="G1453" s="5" t="s">
        <v>71</v>
      </c>
      <c r="H1453" s="5" t="s">
        <v>116</v>
      </c>
      <c r="I1453" s="2">
        <v>18</v>
      </c>
      <c r="J1453" s="2" t="s">
        <v>24</v>
      </c>
      <c r="K1453" s="2" t="s">
        <v>25</v>
      </c>
      <c r="L1453" s="2" t="s">
        <v>50</v>
      </c>
      <c r="M1453" s="4" t="str">
        <f t="shared" si="44"/>
        <v>Voluntary</v>
      </c>
      <c r="N1453" s="23" t="s">
        <v>26</v>
      </c>
    </row>
    <row r="1454" spans="1:14" x14ac:dyDescent="0.25">
      <c r="A1454" s="22">
        <v>8165</v>
      </c>
      <c r="B1454" s="3">
        <v>36500</v>
      </c>
      <c r="C1454" s="3">
        <v>43960</v>
      </c>
      <c r="D1454" s="2">
        <f t="shared" si="45"/>
        <v>21</v>
      </c>
      <c r="E1454" s="4" t="str" cm="1">
        <f t="array" ref="E1454">_xlfn.IFS(
D1454&lt;=5,"Newcomer",
D1454&lt;=10,"Proficient",
D1454&gt;10,"Expert"
)</f>
        <v>Expert</v>
      </c>
      <c r="F1454" s="2" t="s">
        <v>14</v>
      </c>
      <c r="G1454" s="5" t="s">
        <v>71</v>
      </c>
      <c r="H1454" s="5" t="s">
        <v>116</v>
      </c>
      <c r="I1454" s="2">
        <v>44</v>
      </c>
      <c r="J1454" s="2" t="s">
        <v>24</v>
      </c>
      <c r="K1454" s="2" t="s">
        <v>25</v>
      </c>
      <c r="L1454" s="2" t="s">
        <v>50</v>
      </c>
      <c r="M1454" s="4" t="str">
        <f t="shared" si="44"/>
        <v>Voluntary</v>
      </c>
      <c r="N1454" s="23" t="s">
        <v>26</v>
      </c>
    </row>
    <row r="1455" spans="1:14" x14ac:dyDescent="0.25">
      <c r="A1455" s="22">
        <v>8166</v>
      </c>
      <c r="B1455" s="3">
        <v>38975</v>
      </c>
      <c r="C1455" s="3">
        <v>44144</v>
      </c>
      <c r="D1455" s="2">
        <f t="shared" si="45"/>
        <v>14</v>
      </c>
      <c r="E1455" s="4" t="str" cm="1">
        <f t="array" ref="E1455">_xlfn.IFS(
D1455&lt;=5,"Newcomer",
D1455&lt;=10,"Proficient",
D1455&gt;10,"Expert"
)</f>
        <v>Expert</v>
      </c>
      <c r="F1455" s="2" t="s">
        <v>14</v>
      </c>
      <c r="G1455" s="5" t="s">
        <v>71</v>
      </c>
      <c r="H1455" s="5" t="s">
        <v>116</v>
      </c>
      <c r="I1455" s="2">
        <v>44</v>
      </c>
      <c r="J1455" s="2" t="s">
        <v>17</v>
      </c>
      <c r="K1455" s="2" t="s">
        <v>18</v>
      </c>
      <c r="L1455" s="2" t="s">
        <v>50</v>
      </c>
      <c r="M1455" s="4" t="str">
        <f t="shared" si="44"/>
        <v>Voluntary</v>
      </c>
      <c r="N1455" s="23" t="s">
        <v>26</v>
      </c>
    </row>
    <row r="1456" spans="1:14" x14ac:dyDescent="0.25">
      <c r="A1456" s="22">
        <v>8167</v>
      </c>
      <c r="B1456" s="3">
        <v>36161</v>
      </c>
      <c r="C1456" s="3">
        <v>43957</v>
      </c>
      <c r="D1456" s="2">
        <f t="shared" si="45"/>
        <v>21</v>
      </c>
      <c r="E1456" s="4" t="str" cm="1">
        <f t="array" ref="E1456">_xlfn.IFS(
D1456&lt;=5,"Newcomer",
D1456&lt;=10,"Proficient",
D1456&gt;10,"Expert"
)</f>
        <v>Expert</v>
      </c>
      <c r="F1456" s="2" t="s">
        <v>30</v>
      </c>
      <c r="G1456" s="5" t="s">
        <v>71</v>
      </c>
      <c r="H1456" s="5" t="s">
        <v>116</v>
      </c>
      <c r="I1456" s="2">
        <v>46</v>
      </c>
      <c r="J1456" s="2" t="s">
        <v>24</v>
      </c>
      <c r="K1456" s="2" t="s">
        <v>25</v>
      </c>
      <c r="L1456" s="2" t="s">
        <v>50</v>
      </c>
      <c r="M1456" s="4" t="str">
        <f t="shared" si="44"/>
        <v>Voluntary</v>
      </c>
      <c r="N1456" s="23" t="s">
        <v>26</v>
      </c>
    </row>
    <row r="1457" spans="1:14" x14ac:dyDescent="0.25">
      <c r="A1457" s="22">
        <v>8168</v>
      </c>
      <c r="B1457" s="3">
        <v>34675</v>
      </c>
      <c r="C1457" s="3">
        <v>43997</v>
      </c>
      <c r="D1457" s="2">
        <f t="shared" si="45"/>
        <v>26</v>
      </c>
      <c r="E1457" s="4" t="str" cm="1">
        <f t="array" ref="E1457">_xlfn.IFS(
D1457&lt;=5,"Newcomer",
D1457&lt;=10,"Proficient",
D1457&gt;10,"Expert"
)</f>
        <v>Expert</v>
      </c>
      <c r="F1457" s="2" t="s">
        <v>30</v>
      </c>
      <c r="G1457" s="5" t="s">
        <v>71</v>
      </c>
      <c r="H1457" s="5" t="s">
        <v>116</v>
      </c>
      <c r="I1457" s="2">
        <v>46</v>
      </c>
      <c r="J1457" s="2" t="s">
        <v>17</v>
      </c>
      <c r="K1457" s="2" t="s">
        <v>18</v>
      </c>
      <c r="L1457" s="2" t="s">
        <v>50</v>
      </c>
      <c r="M1457" s="4" t="str">
        <f t="shared" si="44"/>
        <v>Voluntary</v>
      </c>
      <c r="N1457" s="23" t="s">
        <v>26</v>
      </c>
    </row>
    <row r="1458" spans="1:14" x14ac:dyDescent="0.25">
      <c r="A1458" s="22">
        <v>8169</v>
      </c>
      <c r="B1458" s="3">
        <v>41490</v>
      </c>
      <c r="C1458" s="3">
        <v>43833</v>
      </c>
      <c r="D1458" s="2">
        <f t="shared" si="45"/>
        <v>7</v>
      </c>
      <c r="E1458" s="4" t="str" cm="1">
        <f t="array" ref="E1458">_xlfn.IFS(
D1458&lt;=5,"Newcomer",
D1458&lt;=10,"Proficient",
D1458&gt;10,"Expert"
)</f>
        <v>Proficient</v>
      </c>
      <c r="F1458" s="2" t="s">
        <v>14</v>
      </c>
      <c r="G1458" s="5" t="s">
        <v>71</v>
      </c>
      <c r="H1458" s="5" t="s">
        <v>116</v>
      </c>
      <c r="I1458" s="2">
        <v>44</v>
      </c>
      <c r="J1458" s="2" t="s">
        <v>24</v>
      </c>
      <c r="K1458" s="2" t="s">
        <v>25</v>
      </c>
      <c r="L1458" s="2" t="s">
        <v>50</v>
      </c>
      <c r="M1458" s="4" t="str">
        <f t="shared" si="44"/>
        <v>Voluntary</v>
      </c>
      <c r="N1458" s="23" t="s">
        <v>26</v>
      </c>
    </row>
    <row r="1459" spans="1:14" x14ac:dyDescent="0.25">
      <c r="A1459" s="22">
        <v>8170</v>
      </c>
      <c r="B1459" s="3">
        <v>33544</v>
      </c>
      <c r="C1459" s="3">
        <v>44047</v>
      </c>
      <c r="D1459" s="2">
        <f t="shared" si="45"/>
        <v>29</v>
      </c>
      <c r="E1459" s="4" t="str" cm="1">
        <f t="array" ref="E1459">_xlfn.IFS(
D1459&lt;=5,"Newcomer",
D1459&lt;=10,"Proficient",
D1459&gt;10,"Expert"
)</f>
        <v>Expert</v>
      </c>
      <c r="F1459" s="2" t="s">
        <v>49</v>
      </c>
      <c r="G1459" s="5" t="s">
        <v>71</v>
      </c>
      <c r="H1459" s="5" t="s">
        <v>116</v>
      </c>
      <c r="I1459" s="2">
        <v>12</v>
      </c>
      <c r="J1459" s="2" t="s">
        <v>24</v>
      </c>
      <c r="K1459" s="2" t="s">
        <v>25</v>
      </c>
      <c r="L1459" s="2" t="s">
        <v>50</v>
      </c>
      <c r="M1459" s="4" t="str">
        <f t="shared" si="44"/>
        <v>Voluntary</v>
      </c>
      <c r="N1459" s="23" t="s">
        <v>26</v>
      </c>
    </row>
    <row r="1460" spans="1:14" x14ac:dyDescent="0.25">
      <c r="A1460" s="22">
        <v>8171</v>
      </c>
      <c r="B1460" s="3">
        <v>42004</v>
      </c>
      <c r="C1460" s="3">
        <v>43876</v>
      </c>
      <c r="D1460" s="2">
        <f t="shared" si="45"/>
        <v>6</v>
      </c>
      <c r="E1460" s="4" t="str" cm="1">
        <f t="array" ref="E1460">_xlfn.IFS(
D1460&lt;=5,"Newcomer",
D1460&lt;=10,"Proficient",
D1460&gt;10,"Expert"
)</f>
        <v>Proficient</v>
      </c>
      <c r="F1460" s="2" t="s">
        <v>53</v>
      </c>
      <c r="G1460" s="5" t="s">
        <v>71</v>
      </c>
      <c r="H1460" s="5" t="s">
        <v>116</v>
      </c>
      <c r="I1460" s="2">
        <v>31</v>
      </c>
      <c r="J1460" s="2" t="s">
        <v>17</v>
      </c>
      <c r="K1460" s="2" t="s">
        <v>18</v>
      </c>
      <c r="L1460" s="2" t="s">
        <v>50</v>
      </c>
      <c r="M1460" s="4" t="str">
        <f t="shared" si="44"/>
        <v>Voluntary</v>
      </c>
      <c r="N1460" s="23" t="s">
        <v>26</v>
      </c>
    </row>
    <row r="1461" spans="1:14" x14ac:dyDescent="0.25">
      <c r="A1461" s="22">
        <v>8172</v>
      </c>
      <c r="B1461" s="3">
        <v>41703</v>
      </c>
      <c r="C1461" s="3">
        <v>43897</v>
      </c>
      <c r="D1461" s="2">
        <f t="shared" si="45"/>
        <v>6</v>
      </c>
      <c r="E1461" s="4" t="str" cm="1">
        <f t="array" ref="E1461">_xlfn.IFS(
D1461&lt;=5,"Newcomer",
D1461&lt;=10,"Proficient",
D1461&gt;10,"Expert"
)</f>
        <v>Proficient</v>
      </c>
      <c r="F1461" s="2" t="s">
        <v>90</v>
      </c>
      <c r="G1461" s="5" t="s">
        <v>71</v>
      </c>
      <c r="H1461" s="5" t="s">
        <v>116</v>
      </c>
      <c r="I1461" s="2">
        <v>26</v>
      </c>
      <c r="J1461" s="2" t="s">
        <v>24</v>
      </c>
      <c r="K1461" s="2" t="s">
        <v>25</v>
      </c>
      <c r="L1461" s="2" t="s">
        <v>50</v>
      </c>
      <c r="M1461" s="4" t="str">
        <f t="shared" si="44"/>
        <v>Voluntary</v>
      </c>
      <c r="N1461" s="23" t="s">
        <v>26</v>
      </c>
    </row>
    <row r="1462" spans="1:14" x14ac:dyDescent="0.25">
      <c r="A1462" s="22">
        <v>8173</v>
      </c>
      <c r="B1462" s="3">
        <v>33031</v>
      </c>
      <c r="C1462" s="3">
        <v>44055</v>
      </c>
      <c r="D1462" s="2">
        <f t="shared" si="45"/>
        <v>30</v>
      </c>
      <c r="E1462" s="4" t="str" cm="1">
        <f t="array" ref="E1462">_xlfn.IFS(
D1462&lt;=5,"Newcomer",
D1462&lt;=10,"Proficient",
D1462&gt;10,"Expert"
)</f>
        <v>Expert</v>
      </c>
      <c r="F1462" s="2" t="s">
        <v>115</v>
      </c>
      <c r="G1462" s="5" t="s">
        <v>71</v>
      </c>
      <c r="H1462" s="5" t="s">
        <v>116</v>
      </c>
      <c r="I1462" s="2">
        <v>17</v>
      </c>
      <c r="J1462" s="2" t="s">
        <v>24</v>
      </c>
      <c r="K1462" s="2" t="s">
        <v>25</v>
      </c>
      <c r="L1462" s="2" t="s">
        <v>50</v>
      </c>
      <c r="M1462" s="4" t="str">
        <f t="shared" si="44"/>
        <v>Voluntary</v>
      </c>
      <c r="N1462" s="23" t="s">
        <v>26</v>
      </c>
    </row>
    <row r="1463" spans="1:14" x14ac:dyDescent="0.25">
      <c r="A1463" s="22">
        <v>8174</v>
      </c>
      <c r="B1463" s="3">
        <v>33198</v>
      </c>
      <c r="C1463" s="3">
        <v>44127</v>
      </c>
      <c r="D1463" s="2">
        <f t="shared" si="45"/>
        <v>30</v>
      </c>
      <c r="E1463" s="4" t="str" cm="1">
        <f t="array" ref="E1463">_xlfn.IFS(
D1463&lt;=5,"Newcomer",
D1463&lt;=10,"Proficient",
D1463&gt;10,"Expert"
)</f>
        <v>Expert</v>
      </c>
      <c r="F1463" s="2" t="s">
        <v>44</v>
      </c>
      <c r="G1463" s="5" t="s">
        <v>71</v>
      </c>
      <c r="H1463" s="5" t="s">
        <v>116</v>
      </c>
      <c r="I1463" s="2">
        <v>18</v>
      </c>
      <c r="J1463" s="2" t="s">
        <v>17</v>
      </c>
      <c r="K1463" s="2" t="s">
        <v>18</v>
      </c>
      <c r="L1463" s="2" t="s">
        <v>50</v>
      </c>
      <c r="M1463" s="4" t="str">
        <f t="shared" si="44"/>
        <v>Voluntary</v>
      </c>
      <c r="N1463" s="23" t="s">
        <v>26</v>
      </c>
    </row>
    <row r="1464" spans="1:14" x14ac:dyDescent="0.25">
      <c r="A1464" s="22">
        <v>8175</v>
      </c>
      <c r="B1464" s="3">
        <v>32894</v>
      </c>
      <c r="C1464" s="3">
        <v>43993</v>
      </c>
      <c r="D1464" s="2">
        <f t="shared" si="45"/>
        <v>30</v>
      </c>
      <c r="E1464" s="4" t="str" cm="1">
        <f t="array" ref="E1464">_xlfn.IFS(
D1464&lt;=5,"Newcomer",
D1464&lt;=10,"Proficient",
D1464&gt;10,"Expert"
)</f>
        <v>Expert</v>
      </c>
      <c r="F1464" s="2" t="s">
        <v>14</v>
      </c>
      <c r="G1464" s="5" t="s">
        <v>71</v>
      </c>
      <c r="H1464" s="5" t="s">
        <v>116</v>
      </c>
      <c r="I1464" s="2">
        <v>44</v>
      </c>
      <c r="J1464" s="2" t="s">
        <v>17</v>
      </c>
      <c r="K1464" s="2" t="s">
        <v>18</v>
      </c>
      <c r="L1464" s="2" t="s">
        <v>50</v>
      </c>
      <c r="M1464" s="4" t="str">
        <f t="shared" si="44"/>
        <v>Voluntary</v>
      </c>
      <c r="N1464" s="23" t="s">
        <v>26</v>
      </c>
    </row>
    <row r="1465" spans="1:14" x14ac:dyDescent="0.25">
      <c r="A1465" s="22">
        <v>8176</v>
      </c>
      <c r="B1465" s="3">
        <v>41837</v>
      </c>
      <c r="C1465" s="3">
        <v>44088</v>
      </c>
      <c r="D1465" s="2">
        <f t="shared" si="45"/>
        <v>6</v>
      </c>
      <c r="E1465" s="4" t="str" cm="1">
        <f t="array" ref="E1465">_xlfn.IFS(
D1465&lt;=5,"Newcomer",
D1465&lt;=10,"Proficient",
D1465&gt;10,"Expert"
)</f>
        <v>Proficient</v>
      </c>
      <c r="F1465" s="2" t="s">
        <v>27</v>
      </c>
      <c r="G1465" s="5" t="s">
        <v>71</v>
      </c>
      <c r="H1465" s="5" t="s">
        <v>116</v>
      </c>
      <c r="I1465" s="2">
        <v>16</v>
      </c>
      <c r="J1465" s="2" t="s">
        <v>17</v>
      </c>
      <c r="K1465" s="2" t="s">
        <v>18</v>
      </c>
      <c r="L1465" s="2" t="s">
        <v>50</v>
      </c>
      <c r="M1465" s="4" t="str">
        <f t="shared" si="44"/>
        <v>Voluntary</v>
      </c>
      <c r="N1465" s="23" t="s">
        <v>26</v>
      </c>
    </row>
    <row r="1466" spans="1:14" x14ac:dyDescent="0.25">
      <c r="A1466" s="22">
        <v>8177</v>
      </c>
      <c r="B1466" s="3">
        <v>35333</v>
      </c>
      <c r="C1466" s="3">
        <v>44065</v>
      </c>
      <c r="D1466" s="2">
        <f t="shared" si="45"/>
        <v>24</v>
      </c>
      <c r="E1466" s="4" t="str" cm="1">
        <f t="array" ref="E1466">_xlfn.IFS(
D1466&lt;=5,"Newcomer",
D1466&lt;=10,"Proficient",
D1466&gt;10,"Expert"
)</f>
        <v>Expert</v>
      </c>
      <c r="F1466" s="2" t="s">
        <v>30</v>
      </c>
      <c r="G1466" s="5" t="s">
        <v>71</v>
      </c>
      <c r="H1466" s="5" t="s">
        <v>116</v>
      </c>
      <c r="I1466" s="2">
        <v>46</v>
      </c>
      <c r="J1466" s="2" t="s">
        <v>17</v>
      </c>
      <c r="K1466" s="2" t="s">
        <v>18</v>
      </c>
      <c r="L1466" s="2" t="s">
        <v>50</v>
      </c>
      <c r="M1466" s="4" t="str">
        <f t="shared" si="44"/>
        <v>Voluntary</v>
      </c>
      <c r="N1466" s="23" t="s">
        <v>26</v>
      </c>
    </row>
    <row r="1467" spans="1:14" x14ac:dyDescent="0.25">
      <c r="A1467" s="22">
        <v>8178</v>
      </c>
      <c r="B1467" s="3">
        <v>38780</v>
      </c>
      <c r="C1467" s="3">
        <v>44045</v>
      </c>
      <c r="D1467" s="2">
        <f t="shared" si="45"/>
        <v>14</v>
      </c>
      <c r="E1467" s="4" t="str" cm="1">
        <f t="array" ref="E1467">_xlfn.IFS(
D1467&lt;=5,"Newcomer",
D1467&lt;=10,"Proficient",
D1467&gt;10,"Expert"
)</f>
        <v>Expert</v>
      </c>
      <c r="F1467" s="2" t="s">
        <v>14</v>
      </c>
      <c r="G1467" s="5" t="s">
        <v>71</v>
      </c>
      <c r="H1467" s="5" t="s">
        <v>116</v>
      </c>
      <c r="I1467" s="2">
        <v>44</v>
      </c>
      <c r="J1467" s="2" t="s">
        <v>24</v>
      </c>
      <c r="K1467" s="2" t="s">
        <v>25</v>
      </c>
      <c r="L1467" s="2" t="s">
        <v>50</v>
      </c>
      <c r="M1467" s="4" t="str">
        <f t="shared" si="44"/>
        <v>Voluntary</v>
      </c>
      <c r="N1467" s="23" t="s">
        <v>26</v>
      </c>
    </row>
    <row r="1468" spans="1:14" x14ac:dyDescent="0.25">
      <c r="A1468" s="22">
        <v>8179</v>
      </c>
      <c r="B1468" s="3">
        <v>34466</v>
      </c>
      <c r="C1468" s="3">
        <v>44022</v>
      </c>
      <c r="D1468" s="2">
        <f t="shared" si="45"/>
        <v>26</v>
      </c>
      <c r="E1468" s="4" t="str" cm="1">
        <f t="array" ref="E1468">_xlfn.IFS(
D1468&lt;=5,"Newcomer",
D1468&lt;=10,"Proficient",
D1468&gt;10,"Expert"
)</f>
        <v>Expert</v>
      </c>
      <c r="F1468" s="2" t="s">
        <v>114</v>
      </c>
      <c r="G1468" s="5" t="s">
        <v>71</v>
      </c>
      <c r="H1468" s="5" t="s">
        <v>116</v>
      </c>
      <c r="I1468" s="2">
        <v>27</v>
      </c>
      <c r="J1468" s="2" t="s">
        <v>17</v>
      </c>
      <c r="K1468" s="2" t="s">
        <v>18</v>
      </c>
      <c r="L1468" s="2" t="s">
        <v>96</v>
      </c>
      <c r="M1468" s="4" t="str">
        <f t="shared" si="44"/>
        <v>Involuntary</v>
      </c>
      <c r="N1468" s="23" t="s">
        <v>26</v>
      </c>
    </row>
    <row r="1469" spans="1:14" x14ac:dyDescent="0.25">
      <c r="A1469" s="22">
        <v>8180</v>
      </c>
      <c r="B1469" s="3">
        <v>34569</v>
      </c>
      <c r="C1469" s="3">
        <v>43931</v>
      </c>
      <c r="D1469" s="2">
        <f t="shared" si="45"/>
        <v>26</v>
      </c>
      <c r="E1469" s="4" t="str" cm="1">
        <f t="array" ref="E1469">_xlfn.IFS(
D1469&lt;=5,"Newcomer",
D1469&lt;=10,"Proficient",
D1469&gt;10,"Expert"
)</f>
        <v>Expert</v>
      </c>
      <c r="F1469" s="2" t="s">
        <v>115</v>
      </c>
      <c r="G1469" s="5" t="s">
        <v>71</v>
      </c>
      <c r="H1469" s="5" t="s">
        <v>116</v>
      </c>
      <c r="I1469" s="2">
        <v>17</v>
      </c>
      <c r="J1469" s="2" t="s">
        <v>17</v>
      </c>
      <c r="K1469" s="2" t="s">
        <v>18</v>
      </c>
      <c r="L1469" s="2" t="s">
        <v>50</v>
      </c>
      <c r="M1469" s="4" t="str">
        <f t="shared" si="44"/>
        <v>Voluntary</v>
      </c>
      <c r="N1469" s="23" t="s">
        <v>26</v>
      </c>
    </row>
    <row r="1470" spans="1:14" x14ac:dyDescent="0.25">
      <c r="A1470" s="22">
        <v>8181</v>
      </c>
      <c r="B1470" s="3">
        <v>34223</v>
      </c>
      <c r="C1470" s="3">
        <v>43910</v>
      </c>
      <c r="D1470" s="2">
        <f t="shared" si="45"/>
        <v>27</v>
      </c>
      <c r="E1470" s="4" t="str" cm="1">
        <f t="array" ref="E1470">_xlfn.IFS(
D1470&lt;=5,"Newcomer",
D1470&lt;=10,"Proficient",
D1470&gt;10,"Expert"
)</f>
        <v>Expert</v>
      </c>
      <c r="F1470" s="2" t="s">
        <v>90</v>
      </c>
      <c r="G1470" s="5" t="s">
        <v>71</v>
      </c>
      <c r="H1470" s="5" t="s">
        <v>116</v>
      </c>
      <c r="I1470" s="2">
        <v>26</v>
      </c>
      <c r="J1470" s="2" t="s">
        <v>17</v>
      </c>
      <c r="K1470" s="2" t="s">
        <v>18</v>
      </c>
      <c r="L1470" s="2" t="s">
        <v>50</v>
      </c>
      <c r="M1470" s="4" t="str">
        <f t="shared" si="44"/>
        <v>Voluntary</v>
      </c>
      <c r="N1470" s="23" t="s">
        <v>26</v>
      </c>
    </row>
    <row r="1471" spans="1:14" x14ac:dyDescent="0.25">
      <c r="A1471" s="22">
        <v>8182</v>
      </c>
      <c r="B1471" s="3">
        <v>35655</v>
      </c>
      <c r="C1471" s="3">
        <v>43882</v>
      </c>
      <c r="D1471" s="2">
        <f t="shared" si="45"/>
        <v>23</v>
      </c>
      <c r="E1471" s="4" t="str" cm="1">
        <f t="array" ref="E1471">_xlfn.IFS(
D1471&lt;=5,"Newcomer",
D1471&lt;=10,"Proficient",
D1471&gt;10,"Expert"
)</f>
        <v>Expert</v>
      </c>
      <c r="F1471" s="2" t="s">
        <v>49</v>
      </c>
      <c r="G1471" s="5" t="s">
        <v>71</v>
      </c>
      <c r="H1471" s="5" t="s">
        <v>116</v>
      </c>
      <c r="I1471" s="2">
        <v>12</v>
      </c>
      <c r="J1471" s="2" t="s">
        <v>17</v>
      </c>
      <c r="K1471" s="2" t="s">
        <v>18</v>
      </c>
      <c r="L1471" s="2" t="s">
        <v>50</v>
      </c>
      <c r="M1471" s="4" t="str">
        <f t="shared" si="44"/>
        <v>Voluntary</v>
      </c>
      <c r="N1471" s="23" t="s">
        <v>26</v>
      </c>
    </row>
    <row r="1472" spans="1:14" x14ac:dyDescent="0.25">
      <c r="A1472" s="22">
        <v>8183</v>
      </c>
      <c r="B1472" s="3">
        <v>37908</v>
      </c>
      <c r="C1472" s="3">
        <v>44179</v>
      </c>
      <c r="D1472" s="2">
        <f t="shared" si="45"/>
        <v>17</v>
      </c>
      <c r="E1472" s="4" t="str" cm="1">
        <f t="array" ref="E1472">_xlfn.IFS(
D1472&lt;=5,"Newcomer",
D1472&lt;=10,"Proficient",
D1472&gt;10,"Expert"
)</f>
        <v>Expert</v>
      </c>
      <c r="F1472" s="2" t="s">
        <v>87</v>
      </c>
      <c r="G1472" s="5" t="s">
        <v>71</v>
      </c>
      <c r="H1472" s="5" t="s">
        <v>116</v>
      </c>
      <c r="I1472" s="2">
        <v>40</v>
      </c>
      <c r="J1472" s="2" t="s">
        <v>24</v>
      </c>
      <c r="K1472" s="2" t="s">
        <v>25</v>
      </c>
      <c r="L1472" s="2" t="s">
        <v>50</v>
      </c>
      <c r="M1472" s="4" t="str">
        <f t="shared" si="44"/>
        <v>Voluntary</v>
      </c>
      <c r="N1472" s="23" t="s">
        <v>26</v>
      </c>
    </row>
    <row r="1473" spans="1:14" x14ac:dyDescent="0.25">
      <c r="A1473" s="22">
        <v>8184</v>
      </c>
      <c r="B1473" s="3">
        <v>41907</v>
      </c>
      <c r="C1473" s="3">
        <v>43854</v>
      </c>
      <c r="D1473" s="2">
        <f t="shared" si="45"/>
        <v>6</v>
      </c>
      <c r="E1473" s="4" t="str" cm="1">
        <f t="array" ref="E1473">_xlfn.IFS(
D1473&lt;=5,"Newcomer",
D1473&lt;=10,"Proficient",
D1473&gt;10,"Expert"
)</f>
        <v>Proficient</v>
      </c>
      <c r="F1473" s="2" t="s">
        <v>70</v>
      </c>
      <c r="G1473" s="5" t="s">
        <v>71</v>
      </c>
      <c r="H1473" s="5" t="s">
        <v>116</v>
      </c>
      <c r="I1473" s="2">
        <v>6</v>
      </c>
      <c r="J1473" s="2" t="s">
        <v>24</v>
      </c>
      <c r="K1473" s="2" t="s">
        <v>25</v>
      </c>
      <c r="L1473" s="2" t="s">
        <v>50</v>
      </c>
      <c r="M1473" s="4" t="str">
        <f t="shared" si="44"/>
        <v>Voluntary</v>
      </c>
      <c r="N1473" s="23" t="s">
        <v>26</v>
      </c>
    </row>
    <row r="1474" spans="1:14" x14ac:dyDescent="0.25">
      <c r="A1474" s="22">
        <v>8185</v>
      </c>
      <c r="B1474" s="3">
        <v>34662</v>
      </c>
      <c r="C1474" s="3">
        <v>44171</v>
      </c>
      <c r="D1474" s="2">
        <f t="shared" si="45"/>
        <v>26</v>
      </c>
      <c r="E1474" s="4" t="str" cm="1">
        <f t="array" ref="E1474">_xlfn.IFS(
D1474&lt;=5,"Newcomer",
D1474&lt;=10,"Proficient",
D1474&gt;10,"Expert"
)</f>
        <v>Expert</v>
      </c>
      <c r="F1474" s="2" t="s">
        <v>41</v>
      </c>
      <c r="G1474" s="5" t="s">
        <v>71</v>
      </c>
      <c r="H1474" s="5" t="s">
        <v>116</v>
      </c>
      <c r="I1474" s="2">
        <v>15</v>
      </c>
      <c r="J1474" s="2" t="s">
        <v>17</v>
      </c>
      <c r="K1474" s="2" t="s">
        <v>18</v>
      </c>
      <c r="L1474" s="2" t="s">
        <v>50</v>
      </c>
      <c r="M1474" s="4" t="str">
        <f t="shared" ref="M1474:M1486" si="46">IF(OR(L1474="Retirement",L1474="Resignation"),"Voluntary","Involuntary")</f>
        <v>Voluntary</v>
      </c>
      <c r="N1474" s="23" t="s">
        <v>26</v>
      </c>
    </row>
    <row r="1475" spans="1:14" x14ac:dyDescent="0.25">
      <c r="A1475" s="22">
        <v>8186</v>
      </c>
      <c r="B1475" s="3">
        <v>40915</v>
      </c>
      <c r="C1475" s="3">
        <v>43974</v>
      </c>
      <c r="D1475" s="2">
        <f t="shared" ref="D1475:D1486" si="47">YEAR(C1475)-YEAR(B1475)</f>
        <v>8</v>
      </c>
      <c r="E1475" s="4" t="str" cm="1">
        <f t="array" ref="E1475">_xlfn.IFS(
D1475&lt;=5,"Newcomer",
D1475&lt;=10,"Proficient",
D1475&gt;10,"Expert"
)</f>
        <v>Proficient</v>
      </c>
      <c r="F1475" s="2" t="s">
        <v>91</v>
      </c>
      <c r="G1475" s="5" t="s">
        <v>71</v>
      </c>
      <c r="H1475" s="5" t="s">
        <v>116</v>
      </c>
      <c r="I1475" s="2">
        <v>29</v>
      </c>
      <c r="J1475" s="2" t="s">
        <v>17</v>
      </c>
      <c r="K1475" s="2" t="s">
        <v>18</v>
      </c>
      <c r="L1475" s="2" t="s">
        <v>50</v>
      </c>
      <c r="M1475" s="4" t="str">
        <f t="shared" si="46"/>
        <v>Voluntary</v>
      </c>
      <c r="N1475" s="23" t="s">
        <v>26</v>
      </c>
    </row>
    <row r="1476" spans="1:14" x14ac:dyDescent="0.25">
      <c r="A1476" s="22">
        <v>8187</v>
      </c>
      <c r="B1476" s="3">
        <v>39377</v>
      </c>
      <c r="C1476" s="3">
        <v>43891</v>
      </c>
      <c r="D1476" s="2">
        <f t="shared" si="47"/>
        <v>13</v>
      </c>
      <c r="E1476" s="4" t="str" cm="1">
        <f t="array" ref="E1476">_xlfn.IFS(
D1476&lt;=5,"Newcomer",
D1476&lt;=10,"Proficient",
D1476&gt;10,"Expert"
)</f>
        <v>Expert</v>
      </c>
      <c r="F1476" s="2" t="s">
        <v>86</v>
      </c>
      <c r="G1476" s="5" t="s">
        <v>71</v>
      </c>
      <c r="H1476" s="5" t="s">
        <v>116</v>
      </c>
      <c r="I1476" s="2">
        <v>8</v>
      </c>
      <c r="J1476" s="2" t="s">
        <v>24</v>
      </c>
      <c r="K1476" s="2" t="s">
        <v>25</v>
      </c>
      <c r="L1476" s="2" t="s">
        <v>50</v>
      </c>
      <c r="M1476" s="4" t="str">
        <f t="shared" si="46"/>
        <v>Voluntary</v>
      </c>
      <c r="N1476" s="23" t="s">
        <v>26</v>
      </c>
    </row>
    <row r="1477" spans="1:14" x14ac:dyDescent="0.25">
      <c r="A1477" s="22">
        <v>8188</v>
      </c>
      <c r="B1477" s="3">
        <v>37388</v>
      </c>
      <c r="C1477" s="3">
        <v>43901</v>
      </c>
      <c r="D1477" s="2">
        <f t="shared" si="47"/>
        <v>18</v>
      </c>
      <c r="E1477" s="4" t="str" cm="1">
        <f t="array" ref="E1477">_xlfn.IFS(
D1477&lt;=5,"Newcomer",
D1477&lt;=10,"Proficient",
D1477&gt;10,"Expert"
)</f>
        <v>Expert</v>
      </c>
      <c r="F1477" s="2" t="s">
        <v>30</v>
      </c>
      <c r="G1477" s="5" t="s">
        <v>71</v>
      </c>
      <c r="H1477" s="5" t="s">
        <v>116</v>
      </c>
      <c r="I1477" s="2">
        <v>46</v>
      </c>
      <c r="J1477" s="2" t="s">
        <v>24</v>
      </c>
      <c r="K1477" s="2" t="s">
        <v>25</v>
      </c>
      <c r="L1477" s="2" t="s">
        <v>50</v>
      </c>
      <c r="M1477" s="4" t="str">
        <f t="shared" si="46"/>
        <v>Voluntary</v>
      </c>
      <c r="N1477" s="23" t="s">
        <v>26</v>
      </c>
    </row>
    <row r="1478" spans="1:14" x14ac:dyDescent="0.25">
      <c r="A1478" s="22">
        <v>8214</v>
      </c>
      <c r="B1478" s="3">
        <v>33050</v>
      </c>
      <c r="C1478" s="3">
        <v>44116</v>
      </c>
      <c r="D1478" s="2">
        <f t="shared" si="47"/>
        <v>30</v>
      </c>
      <c r="E1478" s="4" t="str" cm="1">
        <f t="array" ref="E1478">_xlfn.IFS(
D1478&lt;=5,"Newcomer",
D1478&lt;=10,"Proficient",
D1478&gt;10,"Expert"
)</f>
        <v>Expert</v>
      </c>
      <c r="F1478" s="2" t="s">
        <v>108</v>
      </c>
      <c r="G1478" s="5" t="s">
        <v>42</v>
      </c>
      <c r="H1478" s="5" t="s">
        <v>105</v>
      </c>
      <c r="I1478" s="2">
        <v>14</v>
      </c>
      <c r="J1478" s="2" t="s">
        <v>24</v>
      </c>
      <c r="K1478" s="2" t="s">
        <v>25</v>
      </c>
      <c r="L1478" s="2" t="s">
        <v>96</v>
      </c>
      <c r="M1478" s="4" t="str">
        <f t="shared" si="46"/>
        <v>Involuntary</v>
      </c>
      <c r="N1478" s="23" t="s">
        <v>26</v>
      </c>
    </row>
    <row r="1479" spans="1:14" x14ac:dyDescent="0.25">
      <c r="A1479" s="22">
        <v>8223</v>
      </c>
      <c r="B1479" s="3">
        <v>32998</v>
      </c>
      <c r="C1479" s="3">
        <v>44110</v>
      </c>
      <c r="D1479" s="2">
        <f t="shared" si="47"/>
        <v>30</v>
      </c>
      <c r="E1479" s="4" t="str" cm="1">
        <f t="array" ref="E1479">_xlfn.IFS(
D1479&lt;=5,"Newcomer",
D1479&lt;=10,"Proficient",
D1479&gt;10,"Expert"
)</f>
        <v>Expert</v>
      </c>
      <c r="F1479" s="2" t="s">
        <v>89</v>
      </c>
      <c r="G1479" s="5" t="s">
        <v>71</v>
      </c>
      <c r="H1479" s="5" t="s">
        <v>116</v>
      </c>
      <c r="I1479" s="2">
        <v>33</v>
      </c>
      <c r="J1479" s="2" t="s">
        <v>17</v>
      </c>
      <c r="K1479" s="2" t="s">
        <v>18</v>
      </c>
      <c r="L1479" s="2" t="s">
        <v>50</v>
      </c>
      <c r="M1479" s="4" t="str">
        <f t="shared" si="46"/>
        <v>Voluntary</v>
      </c>
      <c r="N1479" s="23" t="s">
        <v>26</v>
      </c>
    </row>
    <row r="1480" spans="1:14" x14ac:dyDescent="0.25">
      <c r="A1480" s="22">
        <v>8226</v>
      </c>
      <c r="B1480" s="3">
        <v>37038</v>
      </c>
      <c r="C1480" s="3">
        <v>43933</v>
      </c>
      <c r="D1480" s="2">
        <f t="shared" si="47"/>
        <v>19</v>
      </c>
      <c r="E1480" s="4" t="str" cm="1">
        <f t="array" ref="E1480">_xlfn.IFS(
D1480&lt;=5,"Newcomer",
D1480&lt;=10,"Proficient",
D1480&gt;10,"Expert"
)</f>
        <v>Expert</v>
      </c>
      <c r="F1480" s="2" t="s">
        <v>30</v>
      </c>
      <c r="G1480" s="5" t="s">
        <v>71</v>
      </c>
      <c r="H1480" s="5" t="s">
        <v>116</v>
      </c>
      <c r="I1480" s="2">
        <v>46</v>
      </c>
      <c r="J1480" s="2" t="s">
        <v>24</v>
      </c>
      <c r="K1480" s="2" t="s">
        <v>25</v>
      </c>
      <c r="L1480" s="2" t="s">
        <v>50</v>
      </c>
      <c r="M1480" s="4" t="str">
        <f t="shared" si="46"/>
        <v>Voluntary</v>
      </c>
      <c r="N1480" s="23" t="s">
        <v>26</v>
      </c>
    </row>
    <row r="1481" spans="1:14" x14ac:dyDescent="0.25">
      <c r="A1481" s="22">
        <v>8231</v>
      </c>
      <c r="B1481" s="3">
        <v>41506</v>
      </c>
      <c r="C1481" s="3">
        <v>43925</v>
      </c>
      <c r="D1481" s="2">
        <f t="shared" si="47"/>
        <v>7</v>
      </c>
      <c r="E1481" s="4" t="str" cm="1">
        <f t="array" ref="E1481">_xlfn.IFS(
D1481&lt;=5,"Newcomer",
D1481&lt;=10,"Proficient",
D1481&gt;10,"Expert"
)</f>
        <v>Proficient</v>
      </c>
      <c r="F1481" s="2" t="s">
        <v>114</v>
      </c>
      <c r="G1481" s="5" t="s">
        <v>71</v>
      </c>
      <c r="H1481" s="5" t="s">
        <v>116</v>
      </c>
      <c r="I1481" s="2">
        <v>27</v>
      </c>
      <c r="J1481" s="2" t="s">
        <v>17</v>
      </c>
      <c r="K1481" s="2" t="s">
        <v>18</v>
      </c>
      <c r="L1481" s="2" t="s">
        <v>96</v>
      </c>
      <c r="M1481" s="4" t="str">
        <f t="shared" si="46"/>
        <v>Involuntary</v>
      </c>
      <c r="N1481" s="23" t="s">
        <v>26</v>
      </c>
    </row>
    <row r="1482" spans="1:14" x14ac:dyDescent="0.25">
      <c r="A1482" s="22">
        <v>8258</v>
      </c>
      <c r="B1482" s="3">
        <v>36603</v>
      </c>
      <c r="C1482" s="3">
        <v>43873</v>
      </c>
      <c r="D1482" s="2">
        <f t="shared" si="47"/>
        <v>20</v>
      </c>
      <c r="E1482" s="4" t="str" cm="1">
        <f t="array" ref="E1482">_xlfn.IFS(
D1482&lt;=5,"Newcomer",
D1482&lt;=10,"Proficient",
D1482&gt;10,"Expert"
)</f>
        <v>Expert</v>
      </c>
      <c r="F1482" s="2" t="s">
        <v>110</v>
      </c>
      <c r="G1482" s="5" t="s">
        <v>62</v>
      </c>
      <c r="H1482" s="5" t="s">
        <v>63</v>
      </c>
      <c r="I1482" s="2">
        <v>34</v>
      </c>
      <c r="J1482" s="2" t="s">
        <v>17</v>
      </c>
      <c r="K1482" s="2" t="s">
        <v>18</v>
      </c>
      <c r="L1482" s="2" t="s">
        <v>96</v>
      </c>
      <c r="M1482" s="4" t="str">
        <f t="shared" si="46"/>
        <v>Involuntary</v>
      </c>
      <c r="N1482" s="23" t="s">
        <v>26</v>
      </c>
    </row>
    <row r="1483" spans="1:14" x14ac:dyDescent="0.25">
      <c r="A1483" s="22">
        <v>8264</v>
      </c>
      <c r="B1483" s="3">
        <v>34402</v>
      </c>
      <c r="C1483" s="3">
        <v>43988</v>
      </c>
      <c r="D1483" s="2">
        <f t="shared" si="47"/>
        <v>26</v>
      </c>
      <c r="E1483" s="4" t="str" cm="1">
        <f t="array" ref="E1483">_xlfn.IFS(
D1483&lt;=5,"Newcomer",
D1483&lt;=10,"Proficient",
D1483&gt;10,"Expert"
)</f>
        <v>Expert</v>
      </c>
      <c r="F1483" s="2" t="s">
        <v>14</v>
      </c>
      <c r="G1483" s="5" t="s">
        <v>71</v>
      </c>
      <c r="H1483" s="5" t="s">
        <v>116</v>
      </c>
      <c r="I1483" s="2">
        <v>44</v>
      </c>
      <c r="J1483" s="2" t="s">
        <v>24</v>
      </c>
      <c r="K1483" s="2" t="s">
        <v>25</v>
      </c>
      <c r="L1483" s="2" t="s">
        <v>50</v>
      </c>
      <c r="M1483" s="4" t="str">
        <f t="shared" si="46"/>
        <v>Voluntary</v>
      </c>
      <c r="N1483" s="23" t="s">
        <v>26</v>
      </c>
    </row>
    <row r="1484" spans="1:14" x14ac:dyDescent="0.25">
      <c r="A1484" s="22">
        <v>8279</v>
      </c>
      <c r="B1484" s="3">
        <v>34853</v>
      </c>
      <c r="C1484" s="3">
        <v>43885</v>
      </c>
      <c r="D1484" s="2">
        <f t="shared" si="47"/>
        <v>25</v>
      </c>
      <c r="E1484" s="4" t="str" cm="1">
        <f t="array" ref="E1484">_xlfn.IFS(
D1484&lt;=5,"Newcomer",
D1484&lt;=10,"Proficient",
D1484&gt;10,"Expert"
)</f>
        <v>Expert</v>
      </c>
      <c r="F1484" s="2" t="s">
        <v>104</v>
      </c>
      <c r="G1484" s="5" t="s">
        <v>71</v>
      </c>
      <c r="H1484" s="5" t="s">
        <v>116</v>
      </c>
      <c r="I1484" s="2">
        <v>39</v>
      </c>
      <c r="J1484" s="2" t="s">
        <v>24</v>
      </c>
      <c r="K1484" s="2" t="s">
        <v>25</v>
      </c>
      <c r="L1484" s="2" t="s">
        <v>96</v>
      </c>
      <c r="M1484" s="4" t="str">
        <f t="shared" si="46"/>
        <v>Involuntary</v>
      </c>
      <c r="N1484" s="23" t="s">
        <v>26</v>
      </c>
    </row>
    <row r="1485" spans="1:14" x14ac:dyDescent="0.25">
      <c r="A1485" s="22">
        <v>8296</v>
      </c>
      <c r="B1485" s="3">
        <v>34986</v>
      </c>
      <c r="C1485" s="3">
        <v>44192</v>
      </c>
      <c r="D1485" s="2">
        <f t="shared" si="47"/>
        <v>25</v>
      </c>
      <c r="E1485" s="4" t="str" cm="1">
        <f t="array" ref="E1485">_xlfn.IFS(
D1485&lt;=5,"Newcomer",
D1485&lt;=10,"Proficient",
D1485&gt;10,"Expert"
)</f>
        <v>Expert</v>
      </c>
      <c r="F1485" s="2" t="s">
        <v>27</v>
      </c>
      <c r="G1485" s="5" t="s">
        <v>71</v>
      </c>
      <c r="H1485" s="5" t="s">
        <v>116</v>
      </c>
      <c r="I1485" s="2">
        <v>16</v>
      </c>
      <c r="J1485" s="2" t="s">
        <v>24</v>
      </c>
      <c r="K1485" s="2" t="s">
        <v>25</v>
      </c>
      <c r="L1485" s="2" t="s">
        <v>50</v>
      </c>
      <c r="M1485" s="4" t="str">
        <f t="shared" si="46"/>
        <v>Voluntary</v>
      </c>
      <c r="N1485" s="23" t="s">
        <v>26</v>
      </c>
    </row>
    <row r="1486" spans="1:14" x14ac:dyDescent="0.25">
      <c r="A1486" s="28">
        <v>8321</v>
      </c>
      <c r="B1486" s="29">
        <v>37253</v>
      </c>
      <c r="C1486" s="29">
        <v>44119</v>
      </c>
      <c r="D1486" s="30">
        <f t="shared" si="47"/>
        <v>19</v>
      </c>
      <c r="E1486" s="4" t="str" cm="1">
        <f t="array" ref="E1486">_xlfn.IFS(
D1486&lt;=5,"Newcomer",
D1486&lt;=10,"Proficient",
D1486&gt;10,"Expert"
)</f>
        <v>Expert</v>
      </c>
      <c r="F1486" s="30" t="s">
        <v>100</v>
      </c>
      <c r="G1486" s="32" t="s">
        <v>71</v>
      </c>
      <c r="H1486" s="32" t="s">
        <v>116</v>
      </c>
      <c r="I1486" s="30">
        <v>13</v>
      </c>
      <c r="J1486" s="30" t="s">
        <v>24</v>
      </c>
      <c r="K1486" s="30" t="s">
        <v>25</v>
      </c>
      <c r="L1486" s="30" t="s">
        <v>96</v>
      </c>
      <c r="M1486" s="31" t="str">
        <f t="shared" si="46"/>
        <v>Involuntary</v>
      </c>
      <c r="N1486" s="33" t="s">
        <v>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abSelected="1" topLeftCell="A33" workbookViewId="0">
      <selection activeCell="C8" sqref="C8"/>
    </sheetView>
  </sheetViews>
  <sheetFormatPr defaultRowHeight="15" x14ac:dyDescent="0.25"/>
  <cols>
    <col min="1" max="1" width="8.85546875" style="16"/>
    <col min="2" max="2" width="31.5703125" customWidth="1"/>
    <col min="3" max="3" width="27.5703125" bestFit="1" customWidth="1"/>
  </cols>
  <sheetData>
    <row r="1" spans="1:3" x14ac:dyDescent="0.25">
      <c r="A1" s="16" t="s">
        <v>119</v>
      </c>
    </row>
    <row r="3" spans="1:3" x14ac:dyDescent="0.25">
      <c r="A3" s="16" t="s">
        <v>120</v>
      </c>
    </row>
    <row r="4" spans="1:3" x14ac:dyDescent="0.25">
      <c r="B4" t="s">
        <v>122</v>
      </c>
      <c r="C4" s="17">
        <f xml:space="preserve"> COUNTA(Table1[termtype_desc])</f>
        <v>1485</v>
      </c>
    </row>
    <row r="5" spans="1:3" x14ac:dyDescent="0.25">
      <c r="C5" s="6"/>
    </row>
    <row r="6" spans="1:3" x14ac:dyDescent="0.25">
      <c r="A6" s="16" t="s">
        <v>121</v>
      </c>
      <c r="C6" s="6"/>
    </row>
    <row r="7" spans="1:3" x14ac:dyDescent="0.25">
      <c r="B7" t="s">
        <v>123</v>
      </c>
      <c r="C7" s="9">
        <v>7.0000000000000007E-2</v>
      </c>
    </row>
    <row r="8" spans="1:3" x14ac:dyDescent="0.25">
      <c r="B8" t="s">
        <v>124</v>
      </c>
      <c r="C8" s="35">
        <f>C4+C4*0.07</f>
        <v>1588.95</v>
      </c>
    </row>
    <row r="10" spans="1:3" ht="15.75" thickBot="1" x14ac:dyDescent="0.3">
      <c r="A10" s="16" t="s">
        <v>125</v>
      </c>
    </row>
    <row r="11" spans="1:3" x14ac:dyDescent="0.25">
      <c r="B11" s="12" t="s">
        <v>126</v>
      </c>
      <c r="C11" s="13" t="s">
        <v>127</v>
      </c>
    </row>
    <row r="12" spans="1:3" x14ac:dyDescent="0.25">
      <c r="B12" s="19">
        <v>0.04</v>
      </c>
      <c r="C12" s="34">
        <f>$C$4+$C$4*B12</f>
        <v>1544.4</v>
      </c>
    </row>
    <row r="13" spans="1:3" x14ac:dyDescent="0.25">
      <c r="B13" s="19">
        <v>4.4999999999999998E-2</v>
      </c>
      <c r="C13" s="34">
        <f t="shared" ref="C13:C24" si="0">$C$4+$C$4*B13</f>
        <v>1551.825</v>
      </c>
    </row>
    <row r="14" spans="1:3" x14ac:dyDescent="0.25">
      <c r="B14" s="19">
        <v>0.05</v>
      </c>
      <c r="C14" s="34">
        <f t="shared" si="0"/>
        <v>1559.25</v>
      </c>
    </row>
    <row r="15" spans="1:3" x14ac:dyDescent="0.25">
      <c r="B15" s="19">
        <v>5.5E-2</v>
      </c>
      <c r="C15" s="34">
        <f t="shared" si="0"/>
        <v>1566.675</v>
      </c>
    </row>
    <row r="16" spans="1:3" x14ac:dyDescent="0.25">
      <c r="B16" s="19">
        <v>0.06</v>
      </c>
      <c r="C16" s="34">
        <f t="shared" si="0"/>
        <v>1574.1</v>
      </c>
    </row>
    <row r="17" spans="1:3" x14ac:dyDescent="0.25">
      <c r="B17" s="19">
        <v>6.5000000000000002E-2</v>
      </c>
      <c r="C17" s="34">
        <f t="shared" si="0"/>
        <v>1581.5250000000001</v>
      </c>
    </row>
    <row r="18" spans="1:3" x14ac:dyDescent="0.25">
      <c r="B18" s="19">
        <v>7.0000000000000007E-2</v>
      </c>
      <c r="C18" s="34">
        <f t="shared" si="0"/>
        <v>1588.95</v>
      </c>
    </row>
    <row r="19" spans="1:3" x14ac:dyDescent="0.25">
      <c r="B19" s="19">
        <v>7.4999999999999997E-2</v>
      </c>
      <c r="C19" s="34">
        <f t="shared" si="0"/>
        <v>1596.375</v>
      </c>
    </row>
    <row r="20" spans="1:3" x14ac:dyDescent="0.25">
      <c r="B20" s="19">
        <v>0.08</v>
      </c>
      <c r="C20" s="34">
        <f t="shared" si="0"/>
        <v>1603.8</v>
      </c>
    </row>
    <row r="21" spans="1:3" x14ac:dyDescent="0.25">
      <c r="B21" s="19">
        <v>8.5000000000000006E-2</v>
      </c>
      <c r="C21" s="34">
        <f t="shared" si="0"/>
        <v>1611.2249999999999</v>
      </c>
    </row>
    <row r="22" spans="1:3" x14ac:dyDescent="0.25">
      <c r="B22" s="19">
        <v>0.09</v>
      </c>
      <c r="C22" s="34">
        <f t="shared" si="0"/>
        <v>1618.65</v>
      </c>
    </row>
    <row r="23" spans="1:3" x14ac:dyDescent="0.25">
      <c r="B23" s="19">
        <v>9.5000000000000001E-2</v>
      </c>
      <c r="C23" s="34">
        <f t="shared" si="0"/>
        <v>1626.075</v>
      </c>
    </row>
    <row r="24" spans="1:3" ht="15.75" thickBot="1" x14ac:dyDescent="0.3">
      <c r="B24" s="20">
        <v>0.1</v>
      </c>
      <c r="C24" s="34">
        <f t="shared" si="0"/>
        <v>1633.5</v>
      </c>
    </row>
    <row r="26" spans="1:3" x14ac:dyDescent="0.25">
      <c r="A26" s="16" t="s">
        <v>128</v>
      </c>
    </row>
    <row r="27" spans="1:3" ht="15.75" thickBot="1" x14ac:dyDescent="0.3">
      <c r="B27" t="s">
        <v>129</v>
      </c>
    </row>
    <row r="28" spans="1:3" x14ac:dyDescent="0.25">
      <c r="B28" s="12" t="s">
        <v>126</v>
      </c>
      <c r="C28" s="13" t="s">
        <v>127</v>
      </c>
    </row>
    <row r="29" spans="1:3" ht="15.75" thickBot="1" x14ac:dyDescent="0.3">
      <c r="B29" s="21">
        <v>4.4999999999999998E-2</v>
      </c>
      <c r="C29" s="11">
        <f>$C$5+$C$5*B29</f>
        <v>0</v>
      </c>
    </row>
    <row r="31" spans="1:3" x14ac:dyDescent="0.25">
      <c r="A31" s="16" t="s">
        <v>130</v>
      </c>
    </row>
    <row r="32" spans="1:3" ht="15.75" thickBot="1" x14ac:dyDescent="0.3">
      <c r="B32" s="8" t="s">
        <v>122</v>
      </c>
    </row>
    <row r="33" spans="1:3" x14ac:dyDescent="0.25">
      <c r="B33" s="12" t="s">
        <v>131</v>
      </c>
      <c r="C33" s="13" t="s">
        <v>132</v>
      </c>
    </row>
    <row r="34" spans="1:3" x14ac:dyDescent="0.25">
      <c r="B34" s="2" t="s">
        <v>96</v>
      </c>
      <c r="C34" s="10">
        <f>COUNTIF(Table1[termreason_desc],"Layoff")</f>
        <v>708</v>
      </c>
    </row>
    <row r="35" spans="1:3" x14ac:dyDescent="0.25">
      <c r="B35" s="2" t="s">
        <v>50</v>
      </c>
      <c r="C35" s="10">
        <f>COUNTIF(Table1[termreason_desc],"Resignation")</f>
        <v>385</v>
      </c>
    </row>
    <row r="36" spans="1:3" x14ac:dyDescent="0.25">
      <c r="B36" s="2" t="s">
        <v>19</v>
      </c>
      <c r="C36" s="10">
        <f>COUNTIF(Table1[termreason_desc],"Retirement")</f>
        <v>392</v>
      </c>
    </row>
    <row r="38" spans="1:3" ht="15.75" thickBot="1" x14ac:dyDescent="0.3">
      <c r="B38" s="14" t="s">
        <v>133</v>
      </c>
    </row>
    <row r="39" spans="1:3" x14ac:dyDescent="0.25">
      <c r="B39" s="12" t="s">
        <v>131</v>
      </c>
      <c r="C39" s="13" t="s">
        <v>132</v>
      </c>
    </row>
    <row r="40" spans="1:3" ht="15.75" thickBot="1" x14ac:dyDescent="0.3">
      <c r="B40" s="2" t="s">
        <v>96</v>
      </c>
      <c r="C40" s="11">
        <f>MAX(C34:C36)</f>
        <v>708</v>
      </c>
    </row>
    <row r="42" spans="1:3" x14ac:dyDescent="0.25">
      <c r="A42" s="16" t="s">
        <v>134</v>
      </c>
      <c r="B42" t="s">
        <v>142</v>
      </c>
    </row>
    <row r="43" spans="1:3" x14ac:dyDescent="0.25">
      <c r="B43" t="s">
        <v>140</v>
      </c>
    </row>
    <row r="44" spans="1:3" x14ac:dyDescent="0.25">
      <c r="B44" t="s">
        <v>135</v>
      </c>
    </row>
    <row r="45" spans="1:3" x14ac:dyDescent="0.25">
      <c r="B45" t="s">
        <v>136</v>
      </c>
      <c r="C45" s="15">
        <f>COUNTA(Table1[termtype_desc])</f>
        <v>1485</v>
      </c>
    </row>
    <row r="46" spans="1:3" x14ac:dyDescent="0.25">
      <c r="B46" t="s">
        <v>137</v>
      </c>
      <c r="C46" s="6">
        <f>COUNTIF(Table1[termtype_desc],"Voluntary")</f>
        <v>777</v>
      </c>
    </row>
    <row r="47" spans="1:3" x14ac:dyDescent="0.25">
      <c r="B47" s="8" t="s">
        <v>138</v>
      </c>
      <c r="C47" s="18">
        <f>C46/C45</f>
        <v>0.52323232323232327</v>
      </c>
    </row>
    <row r="49" spans="1:2" x14ac:dyDescent="0.25">
      <c r="A49" s="16" t="s">
        <v>139</v>
      </c>
      <c r="B4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Mangesh Reshme</cp:lastModifiedBy>
  <dcterms:created xsi:type="dcterms:W3CDTF">2022-04-06T06:28:55Z</dcterms:created>
  <dcterms:modified xsi:type="dcterms:W3CDTF">2026-05-25T06:21:18Z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